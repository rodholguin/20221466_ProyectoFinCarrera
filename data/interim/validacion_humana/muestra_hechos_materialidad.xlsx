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esis\data\interim\validacion_humana\"/>
    </mc:Choice>
  </mc:AlternateContent>
  <xr:revisionPtr revIDLastSave="0" documentId="13_ncr:1_{3E90B69D-5DF3-4888-BF76-FBFECEA090C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ciones" sheetId="1" r:id="rId1"/>
    <sheet name="Taxonomia" sheetId="2" r:id="rId2"/>
    <sheet name="Anotacion" sheetId="3" r:id="rId3"/>
    <sheet name="criterios" sheetId="4" r:id="rId4"/>
  </sheets>
  <definedNames>
    <definedName name="_xlnm._FilterDatabase" localSheetId="2" hidden="1">Anotacion!$A$1:$J$141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29" i="1"/>
  <c r="C30" i="1" s="1"/>
</calcChain>
</file>

<file path=xl/sharedStrings.xml><?xml version="1.0" encoding="utf-8"?>
<sst xmlns="http://schemas.openxmlformats.org/spreadsheetml/2006/main" count="1197" uniqueCount="527">
  <si>
    <t>Materialidad de los Hechos de Importancia (BVL) — muestra a ciegas</t>
  </si>
  <si>
    <t>Esto decide si el feed oficial de Hechos de Importancia entra como SEGUNDA fuente de eventos del canal de sentimiento, JUNTO a la prensa y para los 7 activos. La prensa no cubre a media cartera (Ferreycorp: 0.9 eventos con signo por ano); los hechos si, porque todo emisor listado esta obligado a divulgar. Lo que falta medir es cuantos de esos hechos son EVENTOS DE VERDAD y cuantos son tramite.</t>
  </si>
  <si>
    <t>LA PREGUNTA, EN UNA LINEA</t>
  </si>
  <si>
    <t>Para cada fila: si usted fuera accionista de esa empresa y leyera ese hecho el dia que se publico, ¿le cambia algo? Si si, elija la categoria A/B/C que corresponda. Si es tramite, papeleo o rutina, elija una Z.</t>
  </si>
  <si>
    <t>QUE se llena (dos columnas amarillas)</t>
  </si>
  <si>
    <t>1) categoria — SIEMPRE. Es la MISMA taxonomia de la anotacion de prensa, a proposito: las dos fuentes tienen que entrar por la misma escala.</t>
  </si>
  <si>
    <t>2) polaridad — SOLO si la categoria NO empieza con Z.</t>
  </si>
  <si>
    <t>LO QUE VA A CHIRRIAR, Y ESTA BIEN QUE CHIRRIE</t>
  </si>
  <si>
    <t>Muchos hechos son emisiones de bonos, actas de directorio o prospectos. La taxonomia de prensa no fue disenada para eso. Si ninguna categoria calza, elija la menos mala, marque 'duda' y digalo en 'nota': que la taxonomia no sirva para esta fuente es un resultado, no un error suyo.</t>
  </si>
  <si>
    <t>OJO CON EL DOBLE CONTEO</t>
  </si>
  <si>
    <t>Los dividendos ya estan en el panel desde R3 y los EEFF desde R4. Si el hecho es exactamente eso, marquelo igual segun la taxonomia y anote 'ya en panel' en la nota: se excluiran despues para no contarlos dos veces.</t>
  </si>
  <si>
    <t>COLUMNA `codigo`</t>
  </si>
  <si>
    <t>Es el codigo oficial que el emisor le puso al hecho. Uselo: va a estar disponible en produccion igual que ahora. 'L37 Otros hechos de importancia' es el 34% del feed y no dice nada — ahi hay que leer el texto.</t>
  </si>
  <si>
    <t>PUEDE PARAR CUANDO QUIERA</t>
  </si>
  <si>
    <t>Las filas estan en orden ALEATORIO, asi que cualquier prefijo es una muestra valida. No ordenar ni filtrar de forma permanente: el orden es la clave.</t>
  </si>
  <si>
    <t>AL TERMINAR</t>
  </si>
  <si>
    <t>Guarde con el mismo nombre y avise.</t>
  </si>
  <si>
    <t>PROGRESO</t>
  </si>
  <si>
    <t>Filas en total</t>
  </si>
  <si>
    <t>Anotadas (categoria llena)</t>
  </si>
  <si>
    <t>Avance</t>
  </si>
  <si>
    <t>Materiales hasta ahora (A/B/C)</t>
  </si>
  <si>
    <t>Marcadas con duda</t>
  </si>
  <si>
    <t>codigo</t>
  </si>
  <si>
    <t>magnitud</t>
  </si>
  <si>
    <t>nombre_taxonomia</t>
  </si>
  <si>
    <t>definicion</t>
  </si>
  <si>
    <t>Las filas grises son de magnitud CERO: son la abstencion (no material).</t>
  </si>
  <si>
    <t>A_resultados</t>
  </si>
  <si>
    <t>resultados</t>
  </si>
  <si>
    <t>utilidad, ingresos, ventas, márgenes, estados financieros, balance</t>
  </si>
  <si>
    <t>A_ma_reestructuracion</t>
  </si>
  <si>
    <t>ma_reestructuracion</t>
  </si>
  <si>
    <t>compra o venta de empresas, fusión, adquisición, escisión</t>
  </si>
  <si>
    <t>A_crisis_evento_adverso</t>
  </si>
  <si>
    <t>crisis_evento_adverso</t>
  </si>
  <si>
    <t>accidente, derrame, fraude, investigación, sanción, huelga, conflicto</t>
  </si>
  <si>
    <t>A_regulatorio_material</t>
  </si>
  <si>
    <t>regulatorio_material</t>
  </si>
  <si>
    <t>norma, tarifa, arancel, antidumping o fallo que afecta al negocio</t>
  </si>
  <si>
    <t>B_estrategia_inversion</t>
  </si>
  <si>
    <t>estrategia_inversion</t>
  </si>
  <si>
    <t>inversión, nueva planta, tienda o mina, expansión, entrada a un mercado</t>
  </si>
  <si>
    <t>B_dividendo_capital</t>
  </si>
  <si>
    <t>dividendo_capital</t>
  </si>
  <si>
    <t>dividendo, recompra, emisión de acciones o bonos, deuda, financiamiento</t>
  </si>
  <si>
    <t>B_operacional</t>
  </si>
  <si>
    <t>operacional</t>
  </si>
  <si>
    <t>producción, volúmenes, despachos, contratos ganados, operación diaria</t>
  </si>
  <si>
    <t>B_gobierno_corporativo</t>
  </si>
  <si>
    <t>gobierno_corporativo</t>
  </si>
  <si>
    <t>cambio de gerente general, directorio, renuncia o nombramiento</t>
  </si>
  <si>
    <t>C_analisis_opinion</t>
  </si>
  <si>
    <t>analisis_opinion</t>
  </si>
  <si>
    <t>recomendación de analista, precio objetivo, calificación de riesgo</t>
  </si>
  <si>
    <t>Z_sector_macro</t>
  </si>
  <si>
    <t>sector_macro</t>
  </si>
  <si>
    <t>habla del sector o del precio del metal/insumo SIN mencionar un hecho concreto de la empresa</t>
  </si>
  <si>
    <t>Z_indice_bursatil</t>
  </si>
  <si>
    <t>indice_bursatil</t>
  </si>
  <si>
    <t>crónica de la sesión de la BVL, índices, lista de ganadores y perdedores</t>
  </si>
  <si>
    <t>Z_patrocinio_rse</t>
  </si>
  <si>
    <t>patrocinio_rse</t>
  </si>
  <si>
    <t>auspicio, donación, responsabilidad social, deporte, evento benéfico</t>
  </si>
  <si>
    <t>Z_marketing_promocion</t>
  </si>
  <si>
    <t>marketing_promocion</t>
  </si>
  <si>
    <t>oferta, promoción, lanzamiento de producto, apertura de local</t>
  </si>
  <si>
    <t>Z_mencion_incidental</t>
  </si>
  <si>
    <t>mencion_incidental</t>
  </si>
  <si>
    <t>la empresa aparece solo como dato, fuente o ejemplo, y la noticia trata de otro tema (tipo de cambio, política, otra empresa)</t>
  </si>
  <si>
    <t>Z_no_relevante</t>
  </si>
  <si>
    <t>no_relevante</t>
  </si>
  <si>
    <t>el titular no trata de esta empresa en absoluto</t>
  </si>
  <si>
    <t>n</t>
  </si>
  <si>
    <t>fecha</t>
  </si>
  <si>
    <t>empresa</t>
  </si>
  <si>
    <t>hecho</t>
  </si>
  <si>
    <t>categoria</t>
  </si>
  <si>
    <t>polaridad</t>
  </si>
  <si>
    <t>duda</t>
  </si>
  <si>
    <t>nota</t>
  </si>
  <si>
    <t>desc_codigo</t>
  </si>
  <si>
    <t>2023-04-18</t>
  </si>
  <si>
    <t>L37</t>
  </si>
  <si>
    <t>INRETAIL PERÚ CORP.</t>
  </si>
  <si>
    <t>Acuerdo de Ses-Dir del 18-Abr-2023</t>
  </si>
  <si>
    <t>Otros hechos de importancia</t>
  </si>
  <si>
    <t>2018-05-17</t>
  </si>
  <si>
    <t>MINSUR S.A.</t>
  </si>
  <si>
    <t>Sobre admisión a Consejo Internacional de Minerales y Metales (ICMM)</t>
  </si>
  <si>
    <t>2013-03-25</t>
  </si>
  <si>
    <t>B03</t>
  </si>
  <si>
    <t>FERREYCORP S.A.A.</t>
  </si>
  <si>
    <t>Pago de intereses: 1ra. Emisión de Bonos Corporativos del 2do. Programa de Instrumentos Representativos de Deuda, Serie C</t>
  </si>
  <si>
    <t>Anuncio y resultados de colocación de valores; cronograma y pagos efectuados</t>
  </si>
  <si>
    <t>2025-10-03</t>
  </si>
  <si>
    <t>Anuncio del inicio de oferta de recompra (tender offer) dirigido a los bonistas del "5.750% Senior Notes Due 2028" por parte de InRetail Shopping Malls (subsidiaria)</t>
  </si>
  <si>
    <t>2015-08-26</t>
  </si>
  <si>
    <t>Z96</t>
  </si>
  <si>
    <t>LUZ DEL SUR S.A.A.</t>
  </si>
  <si>
    <t>13ra. Emisión del 1er. Programa de Bonos Corporativos (deslistado) y Resolución de Intendencia General SMV Nº 072-2015-SMV/11.1</t>
  </si>
  <si>
    <t>Expediente de listado o deslistado de valores</t>
  </si>
  <si>
    <t>2019-03-26</t>
  </si>
  <si>
    <t>L14</t>
  </si>
  <si>
    <t>Acuerdos de JOA del 26-Mar-2019</t>
  </si>
  <si>
    <t>Distribución o aplicación de utilidades.</t>
  </si>
  <si>
    <t>2021-03-29</t>
  </si>
  <si>
    <t>BANCO DE CREDITO DEL PERU</t>
  </si>
  <si>
    <t>Redención total (Make-Whole Redemption) de "6.875% Fixed-to-Floating Rate Subordinated Notes due 2026" y de "6.125% Fixed-to-Floating Rate Subordinated Notes due 2027"</t>
  </si>
  <si>
    <t>2021-10-25</t>
  </si>
  <si>
    <t>Sobre extensión de plazo de expiración de oferta de recompra de 6.250% Senior Notes Due 2024</t>
  </si>
  <si>
    <t>2024-01-24</t>
  </si>
  <si>
    <t>CEMENTOS PACASMAYO S.A.A.</t>
  </si>
  <si>
    <t>Sobre designación de entidad externa para revisión de transacciones</t>
  </si>
  <si>
    <t>2020-03-24</t>
  </si>
  <si>
    <t>L01</t>
  </si>
  <si>
    <t>Convocatoria a JOA (nueva presentación)</t>
  </si>
  <si>
    <t>Convocatoria a juntas de accionistas, junta de acreedores o asamblea de obligacionistas y acuerdos.</t>
  </si>
  <si>
    <t>2023-06-19</t>
  </si>
  <si>
    <t>Acuerdo de Ses-Dir del 19-Jun-2023</t>
  </si>
  <si>
    <t>2022-01-04</t>
  </si>
  <si>
    <t>Sobre cotización de acciones de inversión en Rueda de Bolsa</t>
  </si>
  <si>
    <t>2024-11-26</t>
  </si>
  <si>
    <t>L09</t>
  </si>
  <si>
    <t>Sobre contrato de compraventa de acciones por parte de empresa subsidiaria</t>
  </si>
  <si>
    <t>Transacciones, préstamos, y otorgamiento de garantías significativas.</t>
  </si>
  <si>
    <t>2023-10-25</t>
  </si>
  <si>
    <t>Acuerdos de Ses-Dir del 25-Oct-2023</t>
  </si>
  <si>
    <t>2025-10-16</t>
  </si>
  <si>
    <t>Información sobre bonos denominados "5.750% Senior Notes Due 2028" por parte de InRetail Shopping Malls (subsidiaria)</t>
  </si>
  <si>
    <t>2014-06-16</t>
  </si>
  <si>
    <t>A10</t>
  </si>
  <si>
    <t>Escritura Pública de Modificación de Estatutos</t>
  </si>
  <si>
    <t>Otras circunstancias que repercutan en el emisor o en las empresas de su grupo</t>
  </si>
  <si>
    <t>2012-02-16</t>
  </si>
  <si>
    <t>Información complementaria sobre proceso de suscripción de acciones de inversión</t>
  </si>
  <si>
    <t>2017-05-15</t>
  </si>
  <si>
    <t>Escritura Pública de Modificación Parcial de Estatutos</t>
  </si>
  <si>
    <t>2018-02-28</t>
  </si>
  <si>
    <t>Convocatoria a JOA (regularización)</t>
  </si>
  <si>
    <t>2024-10-15</t>
  </si>
  <si>
    <t>L26</t>
  </si>
  <si>
    <t>Sobre exclusión de la 1ra. Emisión de Bonos Corporativos del 3er. Programa de Emisión de Bonos Corporativos e ICP</t>
  </si>
  <si>
    <t>Inscripción, suspensión o exclusión de valores.</t>
  </si>
  <si>
    <t>2019-07-31</t>
  </si>
  <si>
    <t>E05</t>
  </si>
  <si>
    <t>Información Financiera Intermedia Individual al 30-Jun-2019</t>
  </si>
  <si>
    <t>Aprobación de la información financiera anual auditada, memoria anual, e información financiera intermedia.</t>
  </si>
  <si>
    <t>2020-08-06</t>
  </si>
  <si>
    <t>Acuerdos de Ses-Dir del 06-Ago-2020: Conformación de Comités</t>
  </si>
  <si>
    <t>2023-02-22</t>
  </si>
  <si>
    <t>Acuerdos de Ses-Dir del 22-Feb-2023: Convocatoria a JOA</t>
  </si>
  <si>
    <t>2016-09-19</t>
  </si>
  <si>
    <t>Acuerdos Ses-Dir</t>
  </si>
  <si>
    <t>2022-03-31</t>
  </si>
  <si>
    <t>Acuerdos de JOA (no presencial) del 31-Mar-2022</t>
  </si>
  <si>
    <t>2019-10-21</t>
  </si>
  <si>
    <t>Convocatoria a JGA</t>
  </si>
  <si>
    <t>2021-01-28</t>
  </si>
  <si>
    <t>Informe del Directorio sobre OPA lanzada por Peruvian Opportunity Company S.A.C.</t>
  </si>
  <si>
    <t>2024-08-16</t>
  </si>
  <si>
    <t>Acuerdos de Ses-Dir del 16-Ago-2024</t>
  </si>
  <si>
    <t>2025-10-09</t>
  </si>
  <si>
    <t>L21</t>
  </si>
  <si>
    <t>Sobre emisión y liquidación de "6.750% Senior Notes due 2032"</t>
  </si>
  <si>
    <t>Emisiones de valores por oferta pública o privada.</t>
  </si>
  <si>
    <t>2012-05-23</t>
  </si>
  <si>
    <t>C02</t>
  </si>
  <si>
    <t>Escritura Pública de aumento de capital</t>
  </si>
  <si>
    <t>Aumento o reducción del capital; agrupación o desdoblamiento, amortización o redención, cambio de valor nominal de las acciones.</t>
  </si>
  <si>
    <t>2016-04-29</t>
  </si>
  <si>
    <t>ALICORP S.A.A.</t>
  </si>
  <si>
    <t>Acuerdos de Ses-Dir</t>
  </si>
  <si>
    <t>2013-03-15</t>
  </si>
  <si>
    <t>B07</t>
  </si>
  <si>
    <t>Sobre fecha de emisión de Senior Notes due 2023</t>
  </si>
  <si>
    <t>Planes de financiación o reestructuración de recursos permanentes: capital, prestamos, creditos, avales y otros repartos de fondos de las acciones. - no estructurado</t>
  </si>
  <si>
    <t>2012-12-18</t>
  </si>
  <si>
    <t>Aviso sobre pago de dividendos</t>
  </si>
  <si>
    <t>2020-09-09</t>
  </si>
  <si>
    <t>Otorgamiento de garantía corporativa a favor de subsidiaria Mineracao Taboca S.A.</t>
  </si>
  <si>
    <t>2025-09-18</t>
  </si>
  <si>
    <t>Respuesta a Oficio SMV N° 5211-2025/SMV/11.1</t>
  </si>
  <si>
    <t>2014-10-06</t>
  </si>
  <si>
    <t>Sobre subsidiaria Inretail Consumer</t>
  </si>
  <si>
    <t>2015-08-21</t>
  </si>
  <si>
    <t>Sobre subsidiaria InRetail Shopping Malls</t>
  </si>
  <si>
    <t>2023-03-29</t>
  </si>
  <si>
    <t>Suscripción de contrato de compraventa de acciones de Sojitz Arcus Investment S.A.C.</t>
  </si>
  <si>
    <t>2020-06-26</t>
  </si>
  <si>
    <t>Resultados de oferta de recompra de "6.875% Fixed-to-Floating Rate Subordinated Notes due 2026" y "6.125% Fixed-to-Floating Rate Subordinated Notes due 2027"</t>
  </si>
  <si>
    <t>2022-10-31</t>
  </si>
  <si>
    <t>Reporte de Resultados 3er. Trimestre del 2022 - EE.FF. Consolidados</t>
  </si>
  <si>
    <t>2012-10-12</t>
  </si>
  <si>
    <t>Pago de intereses: 11ra. Emisión del 1er. Programa de Bonos Corporativos, Serie A</t>
  </si>
  <si>
    <t>2017-02-22</t>
  </si>
  <si>
    <t>Acuerdo de Ses-Dir</t>
  </si>
  <si>
    <t>2020-06-12</t>
  </si>
  <si>
    <t>Respuesta a Circular N° 146-2020-SMV/11.1 sobre presentación de Informe Auditado y Memoria del ejercicio 2019</t>
  </si>
  <si>
    <t>2019-07-17</t>
  </si>
  <si>
    <t>2025-02-13</t>
  </si>
  <si>
    <t>Convocatoria a JOA: EE.FF. Auditados (Ind y Cons), Memoria Anual, Reporte de Principios de Buen Gobierno Corporativo y Reporte de Sostenibilidad Corporativa del 2024</t>
  </si>
  <si>
    <t>2024-02-14</t>
  </si>
  <si>
    <t>Información Financiera Intermedia Individual al 31-Dic-2023</t>
  </si>
  <si>
    <t>2018-11-29</t>
  </si>
  <si>
    <t>Acuerdos de Ses-Dir del 29-Nov-2018</t>
  </si>
  <si>
    <t>2018-05-10</t>
  </si>
  <si>
    <t>L40</t>
  </si>
  <si>
    <t>Al 30-Abr-2018</t>
  </si>
  <si>
    <t>Posición mensual en instrumentos financieros derivados</t>
  </si>
  <si>
    <t>2018-03-08</t>
  </si>
  <si>
    <t>2018-10-31</t>
  </si>
  <si>
    <t>Información Financiera Intermedia Consolidada al 30-Set-2018</t>
  </si>
  <si>
    <t>2024-08-14</t>
  </si>
  <si>
    <t>Al 31-Jul-2024</t>
  </si>
  <si>
    <t>Información Finaciera Intermedia Consolidada al 30-Jun-2019</t>
  </si>
  <si>
    <t>2020-02-21</t>
  </si>
  <si>
    <t>Earnings Call al 4to. Trimestre del 2019</t>
  </si>
  <si>
    <t>2024-10-23</t>
  </si>
  <si>
    <t>Información Financiera Intermedia Consolidada al 30-Set-2024</t>
  </si>
  <si>
    <t>2018-09-21</t>
  </si>
  <si>
    <t>Sobre nueva línea de productos</t>
  </si>
  <si>
    <t>2019-01-23</t>
  </si>
  <si>
    <t>Acuerdos de Ses-Dir del 23-Ene-2019</t>
  </si>
  <si>
    <t>2016-05-25</t>
  </si>
  <si>
    <t>Aviso de "4.875% Senior Guaranteed Notes due 2020"</t>
  </si>
  <si>
    <t>2024-10-28</t>
  </si>
  <si>
    <t>2da. Emisión de Bonos Corporativos del 4to. Programa de Bonos Corporativos e Instrumentos de Corto Plazo, Serie A</t>
  </si>
  <si>
    <t>2022-06-20</t>
  </si>
  <si>
    <t>Suscripción de contrato con sociedad auditora externa para el ejercicio 2022</t>
  </si>
  <si>
    <t>2013-10-25</t>
  </si>
  <si>
    <t>Z84</t>
  </si>
  <si>
    <t>Complemento del Segundo Prospecto Marco - 2do. Programa de Bonos Corporativos e ICP - 8va. Emisión de Bonos Corporativos</t>
  </si>
  <si>
    <t>Planes de financiación o reestructuración de recursos: capital, préstamos, créditos, avales, emisión de obligaciones, ofertas públicas u otros</t>
  </si>
  <si>
    <t>2022-06-27</t>
  </si>
  <si>
    <t>Respuesta a Circular N° 185-2022-SMV/11.1 sobre información relacionada con la auditoría externa del ejercicio 2022</t>
  </si>
  <si>
    <t>2016-03-22</t>
  </si>
  <si>
    <t>Resultados de subasta: 4ta. Emisión del 3er. Programa de Bonos Corporativos - Serie A</t>
  </si>
  <si>
    <t>2012-10-03</t>
  </si>
  <si>
    <t>Resultados de Oferta Internacional de Acciones</t>
  </si>
  <si>
    <t>2014-05-21</t>
  </si>
  <si>
    <t>Pago de intereses: 6ta. Emisión del 1er. Programa de Bonos de Arrendamiento Financiero - Serie A</t>
  </si>
  <si>
    <t>2021-03-03</t>
  </si>
  <si>
    <t>Información en relación a convocatoria a JOA (no presencial)</t>
  </si>
  <si>
    <t>2015-04-22</t>
  </si>
  <si>
    <t>2017-09-22</t>
  </si>
  <si>
    <t>Acuerdos de JGA</t>
  </si>
  <si>
    <t>2023-02-06</t>
  </si>
  <si>
    <t>L16</t>
  </si>
  <si>
    <t>Información sobre transferencia a Chelsea National Corp. (subsidiaria) de las acciones de JOKR Perú S.A.C.</t>
  </si>
  <si>
    <t>Adquisición, enajenación o reestructuración de activos y/o pasivos. reducción del patrimonio neto.</t>
  </si>
  <si>
    <t>2017-04-03</t>
  </si>
  <si>
    <t>Acuerdo de distribución de utilidades (precisión)</t>
  </si>
  <si>
    <t>2021-12-30</t>
  </si>
  <si>
    <t>L27</t>
  </si>
  <si>
    <t>Información sobre redención anticipada de los bonos denominados "6.250% Senior Notes Due 2024"</t>
  </si>
  <si>
    <t>Recompra, redención, rescate, amortización, conversión u otros que reduzcan el número de valores en circulación.</t>
  </si>
  <si>
    <t>2025-11-02</t>
  </si>
  <si>
    <t>Sobre declaraciones del Gerente General a Semana Económica</t>
  </si>
  <si>
    <t>2017-10-30</t>
  </si>
  <si>
    <t>Sobre Sistema de Control Interno</t>
  </si>
  <si>
    <t>2013-03-11</t>
  </si>
  <si>
    <t>Complemento del Prospecto Marco de la 1ra. Emisión del 3er. Programa de Certificados de Depósito Negociables</t>
  </si>
  <si>
    <t>2024-10-29</t>
  </si>
  <si>
    <t>Z81</t>
  </si>
  <si>
    <t>Actualización N° 13 del Segundo Prospecto Marco del 4to. Programa de Emisión de Bonos Corporativos e Instrumentos de Corto Plazo</t>
  </si>
  <si>
    <t>Prospecto marco</t>
  </si>
  <si>
    <t>2017-10-09</t>
  </si>
  <si>
    <t>Sobre Normas Internas de Conducta</t>
  </si>
  <si>
    <t>2024-12-17</t>
  </si>
  <si>
    <t>Respuesta a Oficio SMV N° 5516-2024-SMV/11.1 y Oficio SMV N° 5610-2024-SMV/11.1 sobre compraventa de acciones por parte de empresa subsidiaria</t>
  </si>
  <si>
    <t>2025-05-14</t>
  </si>
  <si>
    <t>Información Financiera Intermedia Consolidada al 31-Mar-2025</t>
  </si>
  <si>
    <t>2017-05-03</t>
  </si>
  <si>
    <t>Sobre resultados financieros del Primer Trimestre 2017</t>
  </si>
  <si>
    <t>2019-01-29</t>
  </si>
  <si>
    <t>Sobre suspensión (temporal) de acciones</t>
  </si>
  <si>
    <t>2019-11-08</t>
  </si>
  <si>
    <t>Earnings Call al 3er. Trimestre del 2019</t>
  </si>
  <si>
    <t>2024-07-27</t>
  </si>
  <si>
    <t>Sobre anuncio de huelga del Sindicato de Trabajadores</t>
  </si>
  <si>
    <t>2015-12-16</t>
  </si>
  <si>
    <t>2025-05-23</t>
  </si>
  <si>
    <t>Respuesta a Oficio SMV N° 2885-2025-SMV/11.1</t>
  </si>
  <si>
    <t>2013-08-08</t>
  </si>
  <si>
    <t>Pago de intereses: 3ra. Emisión del 2do. Programa de Bonos Corporativos - Serie Única</t>
  </si>
  <si>
    <t>2018-04-30</t>
  </si>
  <si>
    <t>Formulario 20-F - Reporte Anual 2017 (en inglés)</t>
  </si>
  <si>
    <t>2024-07-04</t>
  </si>
  <si>
    <t>2025-02-26</t>
  </si>
  <si>
    <t>Información para inversionistas por lo acontecido en Trujillo y situación financiera de la empresa</t>
  </si>
  <si>
    <t>Información Financiera Auditada Consolidada del ejercicio 2020</t>
  </si>
  <si>
    <t>2015-01-20</t>
  </si>
  <si>
    <t>Aviso de subasta: 2da. Emisión del 3er. Programa de Bonos Corporativos - Serie A</t>
  </si>
  <si>
    <t>2017-12-12</t>
  </si>
  <si>
    <t>Sobre renuncia de Representante de los Obligacionistas de 2do. Programa de Bonos Corporativos e Instrumentos de Corto Plazo</t>
  </si>
  <si>
    <t>2019-07-03</t>
  </si>
  <si>
    <t>Información sobre estado de proceso de venta anunciado por Sempra Energy</t>
  </si>
  <si>
    <t>2025-02-17</t>
  </si>
  <si>
    <t>Reporte de Resultados del 4to. Trimestre de 2024</t>
  </si>
  <si>
    <t>2018-09-24</t>
  </si>
  <si>
    <t>Acuerdo Ses-Dir del 24-Set-2018</t>
  </si>
  <si>
    <t>2019-09-11</t>
  </si>
  <si>
    <t>Resultado de Oferta de Recompra de Bonos "4.850% Senior Notes due 2020</t>
  </si>
  <si>
    <t>2021-07-26</t>
  </si>
  <si>
    <t>Acuerdos de JGA (no presencial) del 26-Jul-2021</t>
  </si>
  <si>
    <t>2018-04-03</t>
  </si>
  <si>
    <t>Patrimonio en Fideicomiso D.S. 093-2002-EF Inretail Shopping Malls (subsidiaria)</t>
  </si>
  <si>
    <t>2021-09-17</t>
  </si>
  <si>
    <t>Al 31-Ago-2021</t>
  </si>
  <si>
    <t>L22</t>
  </si>
  <si>
    <t>(rectificación)</t>
  </si>
  <si>
    <t>Informes de clasificación de riesgo.</t>
  </si>
  <si>
    <t>2019-09-16</t>
  </si>
  <si>
    <t>Fecha de redención anticipada de bonos subordinados con vencimiento 2069</t>
  </si>
  <si>
    <t>2023-03-01</t>
  </si>
  <si>
    <t>Información Financiera Intermedia Consolidada al 31-Dic-2022</t>
  </si>
  <si>
    <t>2018-12-28</t>
  </si>
  <si>
    <t>Información adicional sobre provisión de equipos al proyecto Quellaveco por parte de Ferreyros (subsidiaria)</t>
  </si>
  <si>
    <t>2017-02-28</t>
  </si>
  <si>
    <t>Al 31-Ene-2017</t>
  </si>
  <si>
    <t>2025-01-20</t>
  </si>
  <si>
    <t>Acuerdo de Ses-Dir del 20-Ene-2025 sobre aporte al capital social a subsidiaria Cumbres del Sur S.A.C.</t>
  </si>
  <si>
    <t>2019-11-27</t>
  </si>
  <si>
    <t>Precisión a Reporte sobre Cumplimiento del Código de Buen Gobierno Corporativo para las Sociedades Peruanas del ejercicio 2018 - Principio 26: Auditoría Interna</t>
  </si>
  <si>
    <t>2024-10-03</t>
  </si>
  <si>
    <t>Información mensual de tenedores de ADRs al cierre de Set-2024</t>
  </si>
  <si>
    <t>2020-07-09</t>
  </si>
  <si>
    <t>Sobre Proyecto de Fusión Simple a través del cual Alicorp S.A.A. absorberá a Cernical Group S.A.</t>
  </si>
  <si>
    <t>2012-03-08</t>
  </si>
  <si>
    <t>Precisión sobre tema de agenda</t>
  </si>
  <si>
    <t>2016-08-31</t>
  </si>
  <si>
    <t>Acuerdo Ses-Dir</t>
  </si>
  <si>
    <t>2012-06-15</t>
  </si>
  <si>
    <t>C01</t>
  </si>
  <si>
    <t>Escritura Pública de Modificación Parcial de Estatutos por Cambio de Denominación Social</t>
  </si>
  <si>
    <t>Modificaciones de los estatutos del emisor.</t>
  </si>
  <si>
    <t>2020-04-22</t>
  </si>
  <si>
    <t>Información Financiera Intermedia Consolidada al 31-Mar-2020</t>
  </si>
  <si>
    <t>2018-02-19</t>
  </si>
  <si>
    <t>Aclaración sobre tema de agenda a tratar en JOA</t>
  </si>
  <si>
    <t>2025-10-10</t>
  </si>
  <si>
    <t>Sobre ejercicio de redención de bonos emitidos por InRetail Shopping Malls (subsidiaria)</t>
  </si>
  <si>
    <t>2022-07-22</t>
  </si>
  <si>
    <t>Información Financiera Intermedia Consolidada al 30-Jun-2022</t>
  </si>
  <si>
    <t>2023-06-01</t>
  </si>
  <si>
    <t>Acuerdo de Ses-Dir del 31-May-2023 referido a adquisición de acciones de propia emisión (aclaración)</t>
  </si>
  <si>
    <t>Detalle de agenda de JGA y poderes de representación</t>
  </si>
  <si>
    <t>2024-09-26</t>
  </si>
  <si>
    <t>Recompra de acciones</t>
  </si>
  <si>
    <t>2020-01-29</t>
  </si>
  <si>
    <t>Respecto a adquisición de acciones de propia emisión</t>
  </si>
  <si>
    <t>2019-01-30</t>
  </si>
  <si>
    <t>del 2do. Programa de Bonos Corporativos</t>
  </si>
  <si>
    <t>2019-08-06</t>
  </si>
  <si>
    <t>Earnings Call al 2do. Trimestre del 2019</t>
  </si>
  <si>
    <t>2015-02-13</t>
  </si>
  <si>
    <t>Sobre resultados consolidados del 4to. Trimestre  y del año 2014</t>
  </si>
  <si>
    <t>2017-02-27</t>
  </si>
  <si>
    <t>Escritura Pública de Escisión</t>
  </si>
  <si>
    <t>2025-03-14</t>
  </si>
  <si>
    <t>Sobre transferencia de acciones de Rimac, Seguros y Reaseguros S.A. a favor de Breca Banca S.A.C.</t>
  </si>
  <si>
    <t>2025-03-20</t>
  </si>
  <si>
    <t>Propuesta de Directores a ser sometida a aprobación por parte de la JOA</t>
  </si>
  <si>
    <t>2021-04-30</t>
  </si>
  <si>
    <t>Formulario 20-F - Reporte Anual 2020 (en inglés)</t>
  </si>
  <si>
    <t>2013-09-27</t>
  </si>
  <si>
    <t>Escrituras Públicas de Addendum a los Contratos Complementarios de Emisión de la Segunda y Tercera Emisión de Bonos Corporativos</t>
  </si>
  <si>
    <t>2024-03-27</t>
  </si>
  <si>
    <t>L04</t>
  </si>
  <si>
    <t>Acuerdos de JOA del 27-Mar-2024</t>
  </si>
  <si>
    <t>Cambios en el directorio y gerencia general y/o sus órganos equivalentes.</t>
  </si>
  <si>
    <t>2021-02-24</t>
  </si>
  <si>
    <t>Acuerdos de Ses-Dir del 24-Feb-2021: Convocatoria a JOA (no presencial)</t>
  </si>
  <si>
    <t>2019-10-10</t>
  </si>
  <si>
    <t>Formulario 8-K de Sempra Energy presentado a la Securities and Exchange Commission (SEC)</t>
  </si>
  <si>
    <t>2016-03-31</t>
  </si>
  <si>
    <t>L13</t>
  </si>
  <si>
    <t>Acuerdos de JOA</t>
  </si>
  <si>
    <t>Política de dividendos.</t>
  </si>
  <si>
    <t>2018-10-29</t>
  </si>
  <si>
    <t>Respecto a entrega de equipos por parte de Ferreyros (subsidiaria) al proyecto Mina Justa</t>
  </si>
  <si>
    <t>2025-05-22</t>
  </si>
  <si>
    <t>Acuerdo de Ses-Dir del 22-May-2025</t>
  </si>
  <si>
    <t>Ejercicio de redención de los bonos denominados "5.750% Senior Notes Due 2028"</t>
  </si>
  <si>
    <t>2022-04-04</t>
  </si>
  <si>
    <t>Escritura Pública de Modificación Parcial de Estatuto (acuerdo de JOA del 31-Mar-2021) y rectificación de asiento de inscripción en Registros Públicos</t>
  </si>
  <si>
    <t>2014-11-05</t>
  </si>
  <si>
    <t>Aviso de Colocación: Tercera Emisión del Tercer Programa de Certificados de Depósitos Negociables BCP - Serie C</t>
  </si>
  <si>
    <t>2012-01-26</t>
  </si>
  <si>
    <t>EE.FF. al 31-Dic-2011</t>
  </si>
  <si>
    <t>2012-12-20</t>
  </si>
  <si>
    <t>Información sobre subsidiaria Mega Representaciones S.A.</t>
  </si>
  <si>
    <t>2013-04-24</t>
  </si>
  <si>
    <t>Resultados de Colocación: Oferta Pública Primaria de Senior Guaranteed Notes due 2020 dirigida exclusivamente a Inversionistas Institucionales</t>
  </si>
  <si>
    <t>2021-01-21</t>
  </si>
  <si>
    <t>Acuerdo de Ses-Dir del 21-Ene-2021: Aprobación de la Política de Contratación y Otras Consideraciones con los Auditores Externos</t>
  </si>
  <si>
    <t>x</t>
  </si>
  <si>
    <t>TRAMITE/SIN CONTENIDO: el titular no dice que se acordo y el codigo L37 tampoco informa. Inclasificable solo con texto.</t>
  </si>
  <si>
    <t>Membresia en consejo sectorial de sostenibilidad: encaja en RSE/reputacional.</t>
  </si>
  <si>
    <t>TRAMITE: pago de cupon programado de un bono ya emitido.</t>
  </si>
  <si>
    <t>neutral</t>
  </si>
  <si>
    <t>Oferta de recompra de bonos de la subsidiaria: gestion de pasivos, sin direccion clara para el accionista.</t>
  </si>
  <si>
    <t>TRAMITE: expediente registral de deslistado de una emision.</t>
  </si>
  <si>
    <t>positivo</t>
  </si>
  <si>
    <t>Codigo L14 = distribucion de utilidades; el texto no lo dice, el codigo si. ya en panel (R3).</t>
  </si>
  <si>
    <t>Redencion total de dos emisiones de bonos subordinados: cambio en la estructura de deuda.</t>
  </si>
  <si>
    <t>TRAMITE: extension de plazo de una operacion ya anunciada; no aporta informacion nueva.</t>
  </si>
  <si>
    <t>negativo</t>
  </si>
  <si>
    <t>Designacion de revisor externo de transacciones = investigacion. Alternativa defendible: B_gobierno_corporativo si se lee como refuerzo de controles.</t>
  </si>
  <si>
    <t>TRAMITE: convocatoria a junta.</t>
  </si>
  <si>
    <t>TRAMITE/SIN CONTENIDO: acuerdo de directorio sin materia en el titular.</t>
  </si>
  <si>
    <t>Microestructura de mercado (negociacion de la accion de inversion): la taxonomia de prensa no tiene categoria para esto.</t>
  </si>
  <si>
    <t>Compraventa de acciones por una subsidiaria; el titular no revela si compra o vende ni el monto.</t>
  </si>
  <si>
    <t>TRAMITE/SIN CONTENIDO.</t>
  </si>
  <si>
    <t>Seguimiento de la operacion de bonos de la subsidiaria; el titular no precisa el contenido.</t>
  </si>
  <si>
    <t>TRAMITE: formalizacion notarial de un acuerdo estatutario ya adoptado.</t>
  </si>
  <si>
    <t>TRAMITE: informacion complementaria de un proceso en curso. Alternativa: B_dividendo_capital.</t>
  </si>
  <si>
    <t>TRAMITE: formalizacion notarial de modificacion de estatutos.</t>
  </si>
  <si>
    <t>TRAMITE: convocatoria a junta (regularizacion).</t>
  </si>
  <si>
    <t>TRAMITE: exclusion registral de una emision de bonos.</t>
  </si>
  <si>
    <t>ya en panel (R4). Publicacion de EEFF; el titular no lleva signo.</t>
  </si>
  <si>
    <t>TRAMITE: conformacion de comites internos del directorio, sin cambio de personas clave. Alternativa: B_gobierno_corporativo.</t>
  </si>
  <si>
    <t>TRAMITE: el acuerdo de directorio solo convoca a junta.</t>
  </si>
  <si>
    <t>SIN CONTENIDO: acuerdos de junta sin detalle; el codigo L01 no informa la materia.</t>
  </si>
  <si>
    <t>Informe del directorio ante una OPA: cambio de control con prima para el accionista.</t>
  </si>
  <si>
    <t>Codigo L14 = distribucion de utilidades. ya en panel (R3).</t>
  </si>
  <si>
    <t>Emision y liquidacion de bonos internacionales.</t>
  </si>
  <si>
    <t>TRAMITE: formalizacion notarial del aumento de capital ya acordado (codigo C02). El hecho material fue el acuerdo previo.</t>
  </si>
  <si>
    <t>Fecha de emision de bonos internacionales.</t>
  </si>
  <si>
    <t>Aviso de pago de dividendos. ya en panel (R3).</t>
  </si>
  <si>
    <t>Garantia corporativa a favor de subsidiaria: asuncion de riesgo crediticio; podria leerse negativo segun el monto.</t>
  </si>
  <si>
    <t>SIN CONTENIDO: respuesta a oficio de la SMV sin indicar la materia.</t>
  </si>
  <si>
    <t>SIN CONTENIDO: "sobre subsidiaria X" sin decir que ocurre.</t>
  </si>
  <si>
    <t>Suscripcion de contrato de compraventa de acciones de una empresa; direccion no explicita.</t>
  </si>
  <si>
    <t>Resultados de oferta de recompra de bonos subordinados: gestion de pasivos.</t>
  </si>
  <si>
    <t>Reporte de resultados trimestral. ya en panel (R4).</t>
  </si>
  <si>
    <t>TRAMITE: pago de cupon programado.</t>
  </si>
  <si>
    <t>TRAMITE: respuesta administrativa sobre entrega de informe auditado y memoria.</t>
  </si>
  <si>
    <t>ya en panel (R4).</t>
  </si>
  <si>
    <t>TRAMITE: convocatoria a junta; la agenda es la ordinaria anual.</t>
  </si>
  <si>
    <t>TRAMITE: reporte mensual obligatorio de posicion en derivados.</t>
  </si>
  <si>
    <t>TRAMITE: reporte mensual de derivados.</t>
  </si>
  <si>
    <t>Earnings call: el material suele traer las cifras. ya en panel (R4). Si solo es la convocatoria a la llamada seria tramite.</t>
  </si>
  <si>
    <t>Lanzamiento de nueva linea de productos. Alternativa: B_estrategia_inversion si implica nueva capacidad instalada.</t>
  </si>
  <si>
    <t>Aviso relativo a emision de bonos internacionales.</t>
  </si>
  <si>
    <t>Emision de bonos bajo programa vigente.</t>
  </si>
  <si>
    <t>TRAMITE: contratacion de la sociedad auditora externa.</t>
  </si>
  <si>
    <t>TRAMITE: complemento de prospecto marco.</t>
  </si>
  <si>
    <t>TRAMITE: respuesta administrativa sobre auditoria externa.</t>
  </si>
  <si>
    <t>Resultados de subasta: colocacion efectiva de bonos.</t>
  </si>
  <si>
    <t>Resultados de oferta internacional de acciones: emision de capital.</t>
  </si>
  <si>
    <t>TRAMITE: informacion sobre la convocatoria a junta.</t>
  </si>
  <si>
    <t>SIN CONTENIDO: acuerdos de junta sin detalle.</t>
  </si>
  <si>
    <t>Transferencia de acciones a una subsidiaria: reorganizacion intragrupo, materialidad economica baja pese a encajar en la categoria.</t>
  </si>
  <si>
    <t>TRAMITE: precision de un acuerdo de dividendos ya comunicado. Alternativa: B_dividendo_capital.</t>
  </si>
  <si>
    <t>Redencion anticipada de bonos.</t>
  </si>
  <si>
    <t>SIN CONTENIDO: aclaracion sobre declaraciones del gerente general a la prensa, sin decir sobre que.</t>
  </si>
  <si>
    <t>TRAMITE: reporte sobre el sistema de control interno.</t>
  </si>
  <si>
    <t>TRAMITE: actualizacion de prospecto marco.</t>
  </si>
  <si>
    <t>TRAMITE: normas internas de conducta.</t>
  </si>
  <si>
    <t>Respuesta a oficios de la SMV sobre la compraventa de acciones de la fila 13; el requerimiento del regulador sugiere escrutinio, pero el titular no informa el desenlace.</t>
  </si>
  <si>
    <t>Resultados del primer trimestre. ya en panel (R4).</t>
  </si>
  <si>
    <t>Suspension temporal de la cotizacion: muy relevante para el accionista, pero la taxonomia no tiene categoria de microestructura de mercado.</t>
  </si>
  <si>
    <t>Earnings call, mismo criterio que la fila 53.</t>
  </si>
  <si>
    <t>Anuncio de huelga del sindicato: conflicto laboral con impacto en produccion.</t>
  </si>
  <si>
    <t>SIN CONTENIDO: respuesta a oficio sin materia declarada.</t>
  </si>
  <si>
    <t>Reporte anual 20-F ante la SEC. ya en panel (R4).</t>
  </si>
  <si>
    <t>Evento adverso que obliga a la empresa a pronunciarse ante inversionistas sobre su situacion financiera.</t>
  </si>
  <si>
    <t>EEFF auditados del ejercicio. ya en panel (R4).</t>
  </si>
  <si>
    <t>Aviso de subasta: anuncio de colocacion de bonos.</t>
  </si>
  <si>
    <t>TRAMITE: renuncia del representante de los obligacionistas, no de la administracion de la empresa. Alternativa: B_gobierno_corporativo.</t>
  </si>
  <si>
    <t>Estado del proceso de venta de la empresa por parte de su matriz: cambio de control en curso.</t>
  </si>
  <si>
    <t>Resultado de oferta de recompra de bonos: gestion de pasivos.</t>
  </si>
  <si>
    <t>TRAMITE: informacion sobre el patrimonio fideicometido de la subsidiaria.</t>
  </si>
  <si>
    <t>Informe de clasificacion de riesgo (rectificacion); el titular no permite saber si la clasificacion cambio ni en que direccion.</t>
  </si>
  <si>
    <t>Fecha de redencion anticipada de bonos subordinados.</t>
  </si>
  <si>
    <t>Provision de equipos a un proyecto minero de gran escala: contrato ganado por la subsidiaria operativa.</t>
  </si>
  <si>
    <t>SIN CONTENIDO: titular truncado ("Al 31-Ene-2017"); por la forma corresponde a un reporte mensual, cf. codigo L40.</t>
  </si>
  <si>
    <t>Aporte al capital social de una subsidiaria: financiamiento de un proyecto del grupo. Alternativa: B_dividendo_capital.</t>
  </si>
  <si>
    <t>TRAMITE: precision a un reporte de buen gobierno corporativo.</t>
  </si>
  <si>
    <t>TRAMITE: reporte mensual de tenedores de ADRs. Ojo: el codigo L21 (emisiones) no corresponde al contenido.</t>
  </si>
  <si>
    <t>Proyecto de fusion por absorcion; sin monto ni contraparte externa evidente.</t>
  </si>
  <si>
    <t>TRAMITE: precision sobre un punto de agenda.</t>
  </si>
  <si>
    <t>TRAMITE: formalizacion notarial del cambio de denominacion social ya acordado.</t>
  </si>
  <si>
    <t>TRAMITE: aclaracion sobre un punto de agenda de junta.</t>
  </si>
  <si>
    <t>Ejercicio de redencion de bonos de la subsidiaria.</t>
  </si>
  <si>
    <t>Recompra de acciones de propia emision (aclaracion de un acuerdo previo): senal positiva, pero es informacion repetida.</t>
  </si>
  <si>
    <t>TRAMITE: detalle de agenda y poderes de representacion.</t>
  </si>
  <si>
    <t>Recompra de acciones propias.</t>
  </si>
  <si>
    <t>Adquisicion de acciones de propia emision (recompra).</t>
  </si>
  <si>
    <t>TRAMITE: prospecto marco.</t>
  </si>
  <si>
    <t>Earnings call, mismo criterio que las filas 53 y 80.</t>
  </si>
  <si>
    <t>Resultados del cuarto trimestre y del ano. ya en panel (R4).</t>
  </si>
  <si>
    <t>TRAMITE: formalizacion notarial de una escision ya acordada. Si se prefiere etiquetar el tipo de acto y no su materialidad, seria A_ma_reestructuracion.</t>
  </si>
  <si>
    <t>Transferencia de una participacion accionaria a otra empresa del grupo.</t>
  </si>
  <si>
    <t>Propuesta de composicion del directorio para la junta.</t>
  </si>
  <si>
    <t>TRAMITE: formalizacion notarial de addendas a contratos de emision.</t>
  </si>
  <si>
    <t>Codigo L04 = cambios en directorio y gerencia general; el texto no lo dice, el codigo si.</t>
  </si>
  <si>
    <t>Formulario 8-K de la matriz ante la SEC en el marco de la venta de la empresa; el signo depende del contenido del 8-K, no visible en el titular.</t>
  </si>
  <si>
    <t>Codigo L13 = politica de dividendos: marco general, no un pago concreto.</t>
  </si>
  <si>
    <t>Entrega de equipos a un proyecto minero: ejecucion comercial de la subsidiaria.</t>
  </si>
  <si>
    <t>Ejercicio de redencion de bonos.</t>
  </si>
  <si>
    <t>TRAMITE: formalizacion notarial y rectificacion registral.</t>
  </si>
  <si>
    <t>TRAMITE: certificados de deposito negociables = financiamiento de tesoreria rutinario de un banco. Alternativa: B_dividendo_capital si se cuenta toda emision.</t>
  </si>
  <si>
    <t>Estados financieros del ejercicio. ya en panel (R4).</t>
  </si>
  <si>
    <t>SIN CONTENIDO: "informacion sobre subsidiaria X" sin decir que ocurre.</t>
  </si>
  <si>
    <t>Resultados de colocacion de bonos internacionales.</t>
  </si>
  <si>
    <t>TRAMITE: politica interna de contratacion de auditores externos.</t>
  </si>
  <si>
    <t>Regla 0 - Materialidad primero</t>
  </si>
  <si>
    <t>Se decide primero si el hecho le cambia algo al accionista ese dia. Si no, va a una Z aunque la palabra del titular (bono, escision, capital) aparezca en la definicion de una categoria A/B.</t>
  </si>
  <si>
    <t>Regla 1 - Z_no_relevante = bucket de abstencion</t>
  </si>
  <si>
    <t>La taxonomia de prensa NO tiene categoria de tramite. Se usa Z_no_relevante para todo el papeleo, y la nota empieza con "TRAMITE:" o "SIN CONTENIDO:". Recomendacion: crear Z_tramite_administrativo antes de produccion.</t>
  </si>
  <si>
    <t>Regla 2 - Que cuenta como tramite</t>
  </si>
  <si>
    <t>Convocatorias y agendas de junta; prospectos, complementos y actualizaciones; expedientes de listado/exclusion; pagos de cupon programados; reportes mensuales (derivados, ADRs); escrituras publicas que formalizan un acuerdo ya comunicado; precisiones y aclaraciones formales; contratacion de auditores, normas internas y control interno.</t>
  </si>
  <si>
    <t>Regla 3 - Titular sin contenido</t>
  </si>
  <si>
    <t>"Acuerdo de Ses-Dir del dd-mmm-aaaa" y similares no dicen nada. Si el codigo tampoco informa (L37, L01), va a Z_no_relevante con duda=x. Si el codigo si informa (L14 dividendos, L04 directorio, L13 politica de dividendos), se clasifica por el codigo.</t>
  </si>
  <si>
    <t>Regla 4 - Operaciones de capital y deuda</t>
  </si>
  <si>
    <t>B_dividendo_capital cubre el anuncio o la ejecucion de la operacion: aviso y resultados de colocacion, emision, recompra o redencion de bonos, recompra de acciones, aumento de capital, dividendo declarado, garantia corporativa. El papeleo alrededor de esa misma operacion va a Z.</t>
  </si>
  <si>
    <t>Regla 5 - Doble conteo</t>
  </si>
  <si>
    <t>EEFF, reportes de resultados, earnings calls y 20-F se marcan A_resultados y la nota dice "ya en panel (R4)". Dividendos declarados se marcan B_dividendo_capital y la nota dice "ya en panel (R3)". Se excluyen despues.</t>
  </si>
  <si>
    <t>Regla 6 - Polaridad</t>
  </si>
  <si>
    <t>Es la direccion esperada para el accionista ese dia. Dividendo declarado y recompra de acciones = positivo. Emision, redencion, recompra de bonos y M&amp;A sin monto ni direccion = neutral. Huelga, evento adverso, suspension de cotizacion = negativo. Si el titular no permite decidir, neutral.</t>
  </si>
  <si>
    <t>Regla 7 - duda = x</t>
  </si>
  <si>
    <t>Se marca cuando un anotador razonable podria elegir otra categoria, o cuando el titular no alcanza para clasificar. La nota dice cual es la alternativa.</t>
  </si>
  <si>
    <t>LIMITE CONOCIDO</t>
  </si>
  <si>
    <t>La anotacion se hizo solo con fecha, codigo, empresa y titular. Varias filas cambiarian de categoria si se leyera el documento adjunto; estan marcadas con duda=x.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</si>
</sst>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sz val="10"/>
      <name val="Calibri"/>
    </font>
    <font>
      <b/>
      <sz val="11"/>
      <color rgb="FF1F3864"/>
      <name val="Calibri"/>
    </font>
    <font>
      <b/>
      <sz val="10"/>
      <name val="Calibri"/>
    </font>
    <font>
      <b/>
      <sz val="10"/>
      <color rgb="FFFFFFFF"/>
      <name val="Calibri"/>
    </font>
    <font>
      <i/>
      <sz val="10"/>
      <name val="Calibri"/>
    </font>
    <font>
      <sz val="8"/>
      <color rgb="FF808080"/>
      <name val="Calibri"/>
    </font>
    <font>
      <sz val="11"/>
      <color theme="1"/>
      <name val="Calibri"/>
      <family val="2"/>
      <charset val="1"/>
    </font>
    <font>
      <sz val="10"/>
      <name val="Calibri"/>
      <charset val="1"/>
    </font>
    <font>
      <b/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EEEE"/>
      </patternFill>
    </fill>
    <fill>
      <patternFill patternType="solid">
        <fgColor rgb="FFFFF2CC"/>
        <bgColor rgb="FFEEEE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164" fontId="4" fillId="0" borderId="0" xfId="0" applyNumberFormat="1" applyFont="1"/>
    <xf numFmtId="0" fontId="5" fillId="2" borderId="0" xfId="0" applyFont="1" applyFill="1"/>
    <xf numFmtId="0" fontId="6" fillId="0" borderId="0" xfId="0" applyFont="1"/>
    <xf numFmtId="165" fontId="0" fillId="0" borderId="0" xfId="0" applyNumberFormat="1"/>
    <xf numFmtId="0" fontId="4" fillId="3" borderId="0" xfId="0" applyFont="1" applyFill="1"/>
    <xf numFmtId="165" fontId="0" fillId="3" borderId="0" xfId="0" applyNumberFormat="1" applyFill="1"/>
    <xf numFmtId="0" fontId="2" fillId="3" borderId="0" xfId="0" applyFont="1" applyFill="1"/>
    <xf numFmtId="0" fontId="2" fillId="3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9" fillId="4" borderId="1" xfId="1" applyFont="1" applyFill="1" applyBorder="1" applyAlignment="1">
      <alignment horizontal="left"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vertical="top" wrapText="1"/>
    </xf>
    <xf numFmtId="0" fontId="8" fillId="0" borderId="0" xfId="1" applyAlignment="1">
      <alignment vertical="top" wrapText="1"/>
    </xf>
    <xf numFmtId="0" fontId="10" fillId="0" borderId="0" xfId="1" applyFont="1" applyAlignment="1">
      <alignment vertical="top" wrapText="1"/>
    </xf>
  </cellXfs>
  <cellStyles count="2">
    <cellStyle name="Normal" xfId="0" builtinId="0"/>
    <cellStyle name="Normal 2" xfId="1" xr:uid="{ACC787C5-1A3B-49E8-A58A-A858F904E9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2"/>
  <sheetViews>
    <sheetView showGridLines="0" zoomScale="119" workbookViewId="0">
      <selection activeCell="B4" sqref="B4"/>
    </sheetView>
  </sheetViews>
  <sheetFormatPr baseColWidth="10" defaultColWidth="8.88671875" defaultRowHeight="14.4" x14ac:dyDescent="0.3"/>
  <cols>
    <col min="1" max="1" width="4" customWidth="1"/>
    <col min="2" max="2" width="108" customWidth="1"/>
    <col min="3" max="3" width="14" customWidth="1"/>
  </cols>
  <sheetData>
    <row r="1" spans="2:2" ht="19.8" x14ac:dyDescent="0.4">
      <c r="B1" s="1" t="s">
        <v>0</v>
      </c>
    </row>
    <row r="3" spans="2:2" ht="60" customHeight="1" x14ac:dyDescent="0.3">
      <c r="B3" s="2" t="s">
        <v>1</v>
      </c>
    </row>
    <row r="5" spans="2:2" x14ac:dyDescent="0.3">
      <c r="B5" s="3" t="s">
        <v>2</v>
      </c>
    </row>
    <row r="6" spans="2:2" ht="45" customHeight="1" x14ac:dyDescent="0.3">
      <c r="B6" s="2" t="s">
        <v>3</v>
      </c>
    </row>
    <row r="8" spans="2:2" x14ac:dyDescent="0.3">
      <c r="B8" s="3" t="s">
        <v>4</v>
      </c>
    </row>
    <row r="9" spans="2:2" ht="30" customHeight="1" x14ac:dyDescent="0.3">
      <c r="B9" s="2" t="s">
        <v>5</v>
      </c>
    </row>
    <row r="10" spans="2:2" ht="15" customHeight="1" x14ac:dyDescent="0.3">
      <c r="B10" s="2" t="s">
        <v>6</v>
      </c>
    </row>
    <row r="12" spans="2:2" x14ac:dyDescent="0.3">
      <c r="B12" s="3" t="s">
        <v>7</v>
      </c>
    </row>
    <row r="13" spans="2:2" ht="45" customHeight="1" x14ac:dyDescent="0.3">
      <c r="B13" s="2" t="s">
        <v>8</v>
      </c>
    </row>
    <row r="15" spans="2:2" x14ac:dyDescent="0.3">
      <c r="B15" s="3" t="s">
        <v>9</v>
      </c>
    </row>
    <row r="16" spans="2:2" ht="45" customHeight="1" x14ac:dyDescent="0.3">
      <c r="B16" s="2" t="s">
        <v>10</v>
      </c>
    </row>
    <row r="18" spans="2:3" x14ac:dyDescent="0.3">
      <c r="B18" s="3" t="s">
        <v>11</v>
      </c>
    </row>
    <row r="19" spans="2:3" ht="30" customHeight="1" x14ac:dyDescent="0.3">
      <c r="B19" s="2" t="s">
        <v>12</v>
      </c>
    </row>
    <row r="21" spans="2:3" x14ac:dyDescent="0.3">
      <c r="B21" s="3" t="s">
        <v>13</v>
      </c>
    </row>
    <row r="22" spans="2:3" ht="30" customHeight="1" x14ac:dyDescent="0.3">
      <c r="B22" s="2" t="s">
        <v>14</v>
      </c>
    </row>
    <row r="24" spans="2:3" x14ac:dyDescent="0.3">
      <c r="B24" s="3" t="s">
        <v>15</v>
      </c>
    </row>
    <row r="25" spans="2:3" ht="15" customHeight="1" x14ac:dyDescent="0.3">
      <c r="B25" s="2" t="s">
        <v>16</v>
      </c>
    </row>
    <row r="27" spans="2:3" x14ac:dyDescent="0.3">
      <c r="B27" s="3" t="s">
        <v>17</v>
      </c>
    </row>
    <row r="28" spans="2:3" x14ac:dyDescent="0.3">
      <c r="B28" s="4" t="s">
        <v>18</v>
      </c>
      <c r="C28" s="5">
        <v>140</v>
      </c>
    </row>
    <row r="29" spans="2:3" x14ac:dyDescent="0.3">
      <c r="B29" s="4" t="s">
        <v>19</v>
      </c>
      <c r="C29" s="5">
        <f>COUNTA(Anotacion!$F$2:$F$141)</f>
        <v>140</v>
      </c>
    </row>
    <row r="30" spans="2:3" x14ac:dyDescent="0.3">
      <c r="B30" s="4" t="s">
        <v>20</v>
      </c>
      <c r="C30" s="6">
        <f>C29/C28</f>
        <v>1</v>
      </c>
    </row>
    <row r="31" spans="2:3" x14ac:dyDescent="0.3">
      <c r="B31" s="4" t="s">
        <v>21</v>
      </c>
      <c r="C31" s="5">
        <f>COUNTA(Anotacion!$F$2:$F$141)-COUNTIF(Anotacion!$F$2:$F$141,"Z_*")</f>
        <v>69</v>
      </c>
    </row>
    <row r="32" spans="2:3" x14ac:dyDescent="0.3">
      <c r="B32" s="4" t="s">
        <v>22</v>
      </c>
      <c r="C32" s="5">
        <f>COUNTIF(Anotacion!$H$2:$H$141,"x")</f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zoomScale="13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2" width="10" customWidth="1"/>
    <col min="3" max="3" width="24" customWidth="1"/>
    <col min="4" max="4" width="78" customWidth="1"/>
  </cols>
  <sheetData>
    <row r="1" spans="1:6" x14ac:dyDescent="0.3">
      <c r="A1" s="7" t="s">
        <v>23</v>
      </c>
      <c r="B1" s="7" t="s">
        <v>24</v>
      </c>
      <c r="C1" s="7" t="s">
        <v>25</v>
      </c>
      <c r="D1" s="7" t="s">
        <v>26</v>
      </c>
      <c r="F1" s="8" t="s">
        <v>27</v>
      </c>
    </row>
    <row r="2" spans="1:6" x14ac:dyDescent="0.3">
      <c r="A2" s="5" t="s">
        <v>28</v>
      </c>
      <c r="B2" s="9">
        <v>1</v>
      </c>
      <c r="C2" s="4" t="s">
        <v>29</v>
      </c>
      <c r="D2" s="2" t="s">
        <v>30</v>
      </c>
    </row>
    <row r="3" spans="1:6" x14ac:dyDescent="0.3">
      <c r="A3" s="5" t="s">
        <v>31</v>
      </c>
      <c r="B3" s="9">
        <v>1</v>
      </c>
      <c r="C3" s="4" t="s">
        <v>32</v>
      </c>
      <c r="D3" s="2" t="s">
        <v>33</v>
      </c>
    </row>
    <row r="4" spans="1:6" x14ac:dyDescent="0.3">
      <c r="A4" s="5" t="s">
        <v>34</v>
      </c>
      <c r="B4" s="9">
        <v>1</v>
      </c>
      <c r="C4" s="4" t="s">
        <v>35</v>
      </c>
      <c r="D4" s="2" t="s">
        <v>36</v>
      </c>
    </row>
    <row r="5" spans="1:6" x14ac:dyDescent="0.3">
      <c r="A5" s="5" t="s">
        <v>37</v>
      </c>
      <c r="B5" s="9">
        <v>1</v>
      </c>
      <c r="C5" s="4" t="s">
        <v>38</v>
      </c>
      <c r="D5" s="2" t="s">
        <v>39</v>
      </c>
    </row>
    <row r="6" spans="1:6" x14ac:dyDescent="0.3">
      <c r="A6" s="5" t="s">
        <v>40</v>
      </c>
      <c r="B6" s="9">
        <v>0.6</v>
      </c>
      <c r="C6" s="4" t="s">
        <v>41</v>
      </c>
      <c r="D6" s="2" t="s">
        <v>42</v>
      </c>
    </row>
    <row r="7" spans="1:6" x14ac:dyDescent="0.3">
      <c r="A7" s="5" t="s">
        <v>43</v>
      </c>
      <c r="B7" s="9">
        <v>0.6</v>
      </c>
      <c r="C7" s="4" t="s">
        <v>44</v>
      </c>
      <c r="D7" s="2" t="s">
        <v>45</v>
      </c>
    </row>
    <row r="8" spans="1:6" x14ac:dyDescent="0.3">
      <c r="A8" s="5" t="s">
        <v>46</v>
      </c>
      <c r="B8" s="9">
        <v>0.6</v>
      </c>
      <c r="C8" s="4" t="s">
        <v>47</v>
      </c>
      <c r="D8" s="2" t="s">
        <v>48</v>
      </c>
    </row>
    <row r="9" spans="1:6" x14ac:dyDescent="0.3">
      <c r="A9" s="5" t="s">
        <v>49</v>
      </c>
      <c r="B9" s="9">
        <v>0.6</v>
      </c>
      <c r="C9" s="4" t="s">
        <v>50</v>
      </c>
      <c r="D9" s="2" t="s">
        <v>51</v>
      </c>
    </row>
    <row r="10" spans="1:6" x14ac:dyDescent="0.3">
      <c r="A10" s="5" t="s">
        <v>52</v>
      </c>
      <c r="B10" s="9">
        <v>0.3</v>
      </c>
      <c r="C10" s="4" t="s">
        <v>53</v>
      </c>
      <c r="D10" s="2" t="s">
        <v>54</v>
      </c>
    </row>
    <row r="11" spans="1:6" x14ac:dyDescent="0.3">
      <c r="A11" s="10" t="s">
        <v>55</v>
      </c>
      <c r="B11" s="11">
        <v>0</v>
      </c>
      <c r="C11" s="12" t="s">
        <v>56</v>
      </c>
      <c r="D11" s="13" t="s">
        <v>57</v>
      </c>
    </row>
    <row r="12" spans="1:6" x14ac:dyDescent="0.3">
      <c r="A12" s="10" t="s">
        <v>58</v>
      </c>
      <c r="B12" s="11">
        <v>0</v>
      </c>
      <c r="C12" s="12" t="s">
        <v>59</v>
      </c>
      <c r="D12" s="13" t="s">
        <v>60</v>
      </c>
    </row>
    <row r="13" spans="1:6" x14ac:dyDescent="0.3">
      <c r="A13" s="10" t="s">
        <v>61</v>
      </c>
      <c r="B13" s="11">
        <v>0</v>
      </c>
      <c r="C13" s="12" t="s">
        <v>62</v>
      </c>
      <c r="D13" s="13" t="s">
        <v>63</v>
      </c>
    </row>
    <row r="14" spans="1:6" x14ac:dyDescent="0.3">
      <c r="A14" s="10" t="s">
        <v>64</v>
      </c>
      <c r="B14" s="11">
        <v>0</v>
      </c>
      <c r="C14" s="12" t="s">
        <v>65</v>
      </c>
      <c r="D14" s="13" t="s">
        <v>66</v>
      </c>
    </row>
    <row r="15" spans="1:6" ht="27.6" x14ac:dyDescent="0.3">
      <c r="A15" s="10" t="s">
        <v>67</v>
      </c>
      <c r="B15" s="11">
        <v>0</v>
      </c>
      <c r="C15" s="12" t="s">
        <v>68</v>
      </c>
      <c r="D15" s="13" t="s">
        <v>69</v>
      </c>
    </row>
    <row r="16" spans="1:6" x14ac:dyDescent="0.3">
      <c r="A16" s="10" t="s">
        <v>70</v>
      </c>
      <c r="B16" s="11">
        <v>0</v>
      </c>
      <c r="C16" s="12" t="s">
        <v>71</v>
      </c>
      <c r="D16" s="13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1"/>
  <sheetViews>
    <sheetView zoomScale="91" workbookViewId="0">
      <pane xSplit="5" ySplit="1" topLeftCell="H10" activePane="bottomRight" state="frozen"/>
      <selection pane="topRight"/>
      <selection pane="bottomLeft"/>
      <selection pane="bottomRight" activeCell="I11" sqref="I11"/>
    </sheetView>
  </sheetViews>
  <sheetFormatPr baseColWidth="10" defaultColWidth="8.88671875" defaultRowHeight="14.4" x14ac:dyDescent="0.3"/>
  <cols>
    <col min="1" max="1" width="6" customWidth="1"/>
    <col min="2" max="2" width="11" customWidth="1"/>
    <col min="3" max="3" width="8" customWidth="1"/>
    <col min="4" max="4" width="30" customWidth="1"/>
    <col min="5" max="5" width="92" customWidth="1"/>
    <col min="6" max="6" width="26" customWidth="1"/>
    <col min="7" max="7" width="12" customWidth="1"/>
    <col min="8" max="8" width="7" customWidth="1"/>
    <col min="9" max="9" width="34" customWidth="1"/>
    <col min="10" max="10" width="46" customWidth="1"/>
  </cols>
  <sheetData>
    <row r="1" spans="1:10" ht="22.05" customHeight="1" x14ac:dyDescent="0.3">
      <c r="A1" s="14" t="s">
        <v>73</v>
      </c>
      <c r="B1" s="14" t="s">
        <v>74</v>
      </c>
      <c r="C1" s="14" t="s">
        <v>23</v>
      </c>
      <c r="D1" s="14" t="s">
        <v>75</v>
      </c>
      <c r="E1" s="14" t="s">
        <v>76</v>
      </c>
      <c r="F1" s="14" t="s">
        <v>77</v>
      </c>
      <c r="G1" s="14" t="s">
        <v>78</v>
      </c>
      <c r="H1" s="14" t="s">
        <v>79</v>
      </c>
      <c r="I1" s="14" t="s">
        <v>80</v>
      </c>
      <c r="J1" s="14" t="s">
        <v>81</v>
      </c>
    </row>
    <row r="2" spans="1:10" ht="28.05" customHeight="1" x14ac:dyDescent="0.3">
      <c r="A2" s="15">
        <v>1</v>
      </c>
      <c r="B2" s="15" t="s">
        <v>82</v>
      </c>
      <c r="C2" s="15" t="s">
        <v>83</v>
      </c>
      <c r="D2" s="16" t="s">
        <v>84</v>
      </c>
      <c r="E2" s="17" t="s">
        <v>85</v>
      </c>
      <c r="F2" s="19" t="s">
        <v>70</v>
      </c>
      <c r="G2" s="19"/>
      <c r="H2" s="20" t="s">
        <v>397</v>
      </c>
      <c r="I2" s="21" t="s">
        <v>398</v>
      </c>
      <c r="J2" s="18" t="s">
        <v>86</v>
      </c>
    </row>
    <row r="3" spans="1:10" ht="28.05" customHeight="1" x14ac:dyDescent="0.3">
      <c r="A3" s="15">
        <v>2</v>
      </c>
      <c r="B3" s="15" t="s">
        <v>87</v>
      </c>
      <c r="C3" s="15" t="s">
        <v>83</v>
      </c>
      <c r="D3" s="16" t="s">
        <v>88</v>
      </c>
      <c r="E3" s="17" t="s">
        <v>89</v>
      </c>
      <c r="F3" s="19" t="s">
        <v>61</v>
      </c>
      <c r="G3" s="19"/>
      <c r="H3" s="20"/>
      <c r="I3" s="21" t="s">
        <v>399</v>
      </c>
      <c r="J3" s="18" t="s">
        <v>86</v>
      </c>
    </row>
    <row r="4" spans="1:10" ht="28.05" customHeight="1" x14ac:dyDescent="0.3">
      <c r="A4" s="15">
        <v>3</v>
      </c>
      <c r="B4" s="15" t="s">
        <v>90</v>
      </c>
      <c r="C4" s="15" t="s">
        <v>91</v>
      </c>
      <c r="D4" s="16" t="s">
        <v>92</v>
      </c>
      <c r="E4" s="17" t="s">
        <v>93</v>
      </c>
      <c r="F4" s="19" t="s">
        <v>70</v>
      </c>
      <c r="G4" s="19"/>
      <c r="H4" s="20"/>
      <c r="I4" s="21" t="s">
        <v>400</v>
      </c>
      <c r="J4" s="18" t="s">
        <v>94</v>
      </c>
    </row>
    <row r="5" spans="1:10" ht="28.05" customHeight="1" x14ac:dyDescent="0.3">
      <c r="A5" s="15">
        <v>4</v>
      </c>
      <c r="B5" s="15" t="s">
        <v>95</v>
      </c>
      <c r="C5" s="15" t="s">
        <v>83</v>
      </c>
      <c r="D5" s="16" t="s">
        <v>84</v>
      </c>
      <c r="E5" s="17" t="s">
        <v>96</v>
      </c>
      <c r="F5" s="19" t="s">
        <v>43</v>
      </c>
      <c r="G5" s="19" t="s">
        <v>401</v>
      </c>
      <c r="H5" s="20"/>
      <c r="I5" s="21" t="s">
        <v>402</v>
      </c>
      <c r="J5" s="18" t="s">
        <v>86</v>
      </c>
    </row>
    <row r="6" spans="1:10" ht="28.05" customHeight="1" x14ac:dyDescent="0.3">
      <c r="A6" s="15">
        <v>5</v>
      </c>
      <c r="B6" s="15" t="s">
        <v>97</v>
      </c>
      <c r="C6" s="15" t="s">
        <v>98</v>
      </c>
      <c r="D6" s="16" t="s">
        <v>99</v>
      </c>
      <c r="E6" s="17" t="s">
        <v>100</v>
      </c>
      <c r="F6" s="19" t="s">
        <v>70</v>
      </c>
      <c r="G6" s="19"/>
      <c r="H6" s="20"/>
      <c r="I6" s="21" t="s">
        <v>403</v>
      </c>
      <c r="J6" s="18" t="s">
        <v>101</v>
      </c>
    </row>
    <row r="7" spans="1:10" ht="28.05" customHeight="1" x14ac:dyDescent="0.3">
      <c r="A7" s="15">
        <v>6</v>
      </c>
      <c r="B7" s="15" t="s">
        <v>102</v>
      </c>
      <c r="C7" s="15" t="s">
        <v>103</v>
      </c>
      <c r="D7" s="16" t="s">
        <v>84</v>
      </c>
      <c r="E7" s="17" t="s">
        <v>104</v>
      </c>
      <c r="F7" s="19" t="s">
        <v>43</v>
      </c>
      <c r="G7" s="19" t="s">
        <v>404</v>
      </c>
      <c r="H7" s="20"/>
      <c r="I7" s="21" t="s">
        <v>405</v>
      </c>
      <c r="J7" s="18" t="s">
        <v>105</v>
      </c>
    </row>
    <row r="8" spans="1:10" ht="28.05" customHeight="1" x14ac:dyDescent="0.3">
      <c r="A8" s="15">
        <v>7</v>
      </c>
      <c r="B8" s="15" t="s">
        <v>106</v>
      </c>
      <c r="C8" s="15" t="s">
        <v>83</v>
      </c>
      <c r="D8" s="16" t="s">
        <v>107</v>
      </c>
      <c r="E8" s="17" t="s">
        <v>108</v>
      </c>
      <c r="F8" s="19" t="s">
        <v>43</v>
      </c>
      <c r="G8" s="19" t="s">
        <v>401</v>
      </c>
      <c r="H8" s="20"/>
      <c r="I8" s="21" t="s">
        <v>406</v>
      </c>
      <c r="J8" s="18" t="s">
        <v>86</v>
      </c>
    </row>
    <row r="9" spans="1:10" ht="28.05" customHeight="1" x14ac:dyDescent="0.3">
      <c r="A9" s="15">
        <v>8</v>
      </c>
      <c r="B9" s="15" t="s">
        <v>109</v>
      </c>
      <c r="C9" s="15" t="s">
        <v>83</v>
      </c>
      <c r="D9" s="16" t="s">
        <v>88</v>
      </c>
      <c r="E9" s="17" t="s">
        <v>110</v>
      </c>
      <c r="F9" s="19" t="s">
        <v>70</v>
      </c>
      <c r="G9" s="19"/>
      <c r="H9" s="20" t="s">
        <v>397</v>
      </c>
      <c r="I9" s="21" t="s">
        <v>407</v>
      </c>
      <c r="J9" s="18" t="s">
        <v>86</v>
      </c>
    </row>
    <row r="10" spans="1:10" ht="28.05" customHeight="1" x14ac:dyDescent="0.3">
      <c r="A10" s="15">
        <v>9</v>
      </c>
      <c r="B10" s="15" t="s">
        <v>111</v>
      </c>
      <c r="C10" s="15" t="s">
        <v>83</v>
      </c>
      <c r="D10" s="16" t="s">
        <v>112</v>
      </c>
      <c r="E10" s="17" t="s">
        <v>113</v>
      </c>
      <c r="F10" s="19" t="s">
        <v>34</v>
      </c>
      <c r="G10" s="19" t="s">
        <v>408</v>
      </c>
      <c r="H10" s="20" t="s">
        <v>397</v>
      </c>
      <c r="I10" s="21" t="s">
        <v>409</v>
      </c>
      <c r="J10" s="18" t="s">
        <v>86</v>
      </c>
    </row>
    <row r="11" spans="1:10" ht="28.05" customHeight="1" x14ac:dyDescent="0.3">
      <c r="A11" s="15">
        <v>10</v>
      </c>
      <c r="B11" s="15" t="s">
        <v>114</v>
      </c>
      <c r="C11" s="15" t="s">
        <v>115</v>
      </c>
      <c r="D11" s="16" t="s">
        <v>84</v>
      </c>
      <c r="E11" s="17" t="s">
        <v>116</v>
      </c>
      <c r="F11" s="19" t="s">
        <v>70</v>
      </c>
      <c r="G11" s="19"/>
      <c r="H11" s="20"/>
      <c r="I11" s="21" t="s">
        <v>410</v>
      </c>
      <c r="J11" s="18" t="s">
        <v>117</v>
      </c>
    </row>
    <row r="12" spans="1:10" ht="28.05" customHeight="1" x14ac:dyDescent="0.3">
      <c r="A12" s="15">
        <v>11</v>
      </c>
      <c r="B12" s="15" t="s">
        <v>118</v>
      </c>
      <c r="C12" s="15" t="s">
        <v>83</v>
      </c>
      <c r="D12" s="16" t="s">
        <v>112</v>
      </c>
      <c r="E12" s="17" t="s">
        <v>119</v>
      </c>
      <c r="F12" s="19" t="s">
        <v>70</v>
      </c>
      <c r="G12" s="19"/>
      <c r="H12" s="20" t="s">
        <v>397</v>
      </c>
      <c r="I12" s="21" t="s">
        <v>411</v>
      </c>
      <c r="J12" s="18" t="s">
        <v>86</v>
      </c>
    </row>
    <row r="13" spans="1:10" ht="28.05" customHeight="1" x14ac:dyDescent="0.3">
      <c r="A13" s="15">
        <v>12</v>
      </c>
      <c r="B13" s="15" t="s">
        <v>120</v>
      </c>
      <c r="C13" s="15" t="s">
        <v>83</v>
      </c>
      <c r="D13" s="16" t="s">
        <v>88</v>
      </c>
      <c r="E13" s="17" t="s">
        <v>121</v>
      </c>
      <c r="F13" s="19" t="s">
        <v>70</v>
      </c>
      <c r="G13" s="19"/>
      <c r="H13" s="20" t="s">
        <v>397</v>
      </c>
      <c r="I13" s="21" t="s">
        <v>412</v>
      </c>
      <c r="J13" s="18" t="s">
        <v>86</v>
      </c>
    </row>
    <row r="14" spans="1:10" ht="28.05" customHeight="1" x14ac:dyDescent="0.3">
      <c r="A14" s="15">
        <v>13</v>
      </c>
      <c r="B14" s="15" t="s">
        <v>122</v>
      </c>
      <c r="C14" s="15" t="s">
        <v>123</v>
      </c>
      <c r="D14" s="16" t="s">
        <v>88</v>
      </c>
      <c r="E14" s="17" t="s">
        <v>124</v>
      </c>
      <c r="F14" s="19" t="s">
        <v>31</v>
      </c>
      <c r="G14" s="19" t="s">
        <v>401</v>
      </c>
      <c r="H14" s="20"/>
      <c r="I14" s="21" t="s">
        <v>413</v>
      </c>
      <c r="J14" s="18" t="s">
        <v>125</v>
      </c>
    </row>
    <row r="15" spans="1:10" ht="28.05" customHeight="1" x14ac:dyDescent="0.3">
      <c r="A15" s="15">
        <v>14</v>
      </c>
      <c r="B15" s="15" t="s">
        <v>126</v>
      </c>
      <c r="C15" s="15" t="s">
        <v>83</v>
      </c>
      <c r="D15" s="16" t="s">
        <v>107</v>
      </c>
      <c r="E15" s="17" t="s">
        <v>127</v>
      </c>
      <c r="F15" s="19" t="s">
        <v>70</v>
      </c>
      <c r="G15" s="19"/>
      <c r="H15" s="20" t="s">
        <v>397</v>
      </c>
      <c r="I15" s="21" t="s">
        <v>414</v>
      </c>
      <c r="J15" s="18" t="s">
        <v>86</v>
      </c>
    </row>
    <row r="16" spans="1:10" ht="28.05" customHeight="1" x14ac:dyDescent="0.3">
      <c r="A16" s="15">
        <v>15</v>
      </c>
      <c r="B16" s="15" t="s">
        <v>128</v>
      </c>
      <c r="C16" s="15" t="s">
        <v>83</v>
      </c>
      <c r="D16" s="16" t="s">
        <v>84</v>
      </c>
      <c r="E16" s="17" t="s">
        <v>129</v>
      </c>
      <c r="F16" s="19" t="s">
        <v>43</v>
      </c>
      <c r="G16" s="19" t="s">
        <v>401</v>
      </c>
      <c r="H16" s="20" t="s">
        <v>397</v>
      </c>
      <c r="I16" s="21" t="s">
        <v>415</v>
      </c>
      <c r="J16" s="18" t="s">
        <v>86</v>
      </c>
    </row>
    <row r="17" spans="1:10" ht="28.05" customHeight="1" x14ac:dyDescent="0.3">
      <c r="A17" s="15">
        <v>16</v>
      </c>
      <c r="B17" s="15" t="s">
        <v>130</v>
      </c>
      <c r="C17" s="15" t="s">
        <v>131</v>
      </c>
      <c r="D17" s="16" t="s">
        <v>112</v>
      </c>
      <c r="E17" s="17" t="s">
        <v>132</v>
      </c>
      <c r="F17" s="19" t="s">
        <v>70</v>
      </c>
      <c r="G17" s="19"/>
      <c r="H17" s="20"/>
      <c r="I17" s="21" t="s">
        <v>416</v>
      </c>
      <c r="J17" s="18" t="s">
        <v>133</v>
      </c>
    </row>
    <row r="18" spans="1:10" ht="28.05" customHeight="1" x14ac:dyDescent="0.3">
      <c r="A18" s="15">
        <v>17</v>
      </c>
      <c r="B18" s="15" t="s">
        <v>134</v>
      </c>
      <c r="C18" s="15" t="s">
        <v>131</v>
      </c>
      <c r="D18" s="16" t="s">
        <v>112</v>
      </c>
      <c r="E18" s="17" t="s">
        <v>135</v>
      </c>
      <c r="F18" s="19" t="s">
        <v>70</v>
      </c>
      <c r="G18" s="19"/>
      <c r="H18" s="20" t="s">
        <v>397</v>
      </c>
      <c r="I18" s="21" t="s">
        <v>417</v>
      </c>
      <c r="J18" s="18" t="s">
        <v>133</v>
      </c>
    </row>
    <row r="19" spans="1:10" ht="28.05" customHeight="1" x14ac:dyDescent="0.3">
      <c r="A19" s="15">
        <v>18</v>
      </c>
      <c r="B19" s="15" t="s">
        <v>136</v>
      </c>
      <c r="C19" s="15" t="s">
        <v>83</v>
      </c>
      <c r="D19" s="16" t="s">
        <v>112</v>
      </c>
      <c r="E19" s="17" t="s">
        <v>137</v>
      </c>
      <c r="F19" s="19" t="s">
        <v>70</v>
      </c>
      <c r="G19" s="19"/>
      <c r="H19" s="20"/>
      <c r="I19" s="21" t="s">
        <v>418</v>
      </c>
      <c r="J19" s="18" t="s">
        <v>86</v>
      </c>
    </row>
    <row r="20" spans="1:10" ht="28.05" customHeight="1" x14ac:dyDescent="0.3">
      <c r="A20" s="15">
        <v>19</v>
      </c>
      <c r="B20" s="15" t="s">
        <v>138</v>
      </c>
      <c r="C20" s="15" t="s">
        <v>115</v>
      </c>
      <c r="D20" s="16" t="s">
        <v>92</v>
      </c>
      <c r="E20" s="17" t="s">
        <v>139</v>
      </c>
      <c r="F20" s="19" t="s">
        <v>70</v>
      </c>
      <c r="G20" s="19"/>
      <c r="H20" s="20"/>
      <c r="I20" s="21" t="s">
        <v>419</v>
      </c>
      <c r="J20" s="18" t="s">
        <v>117</v>
      </c>
    </row>
    <row r="21" spans="1:10" ht="28.05" customHeight="1" x14ac:dyDescent="0.3">
      <c r="A21" s="15">
        <v>20</v>
      </c>
      <c r="B21" s="15" t="s">
        <v>140</v>
      </c>
      <c r="C21" s="15" t="s">
        <v>141</v>
      </c>
      <c r="D21" s="16" t="s">
        <v>99</v>
      </c>
      <c r="E21" s="17" t="s">
        <v>142</v>
      </c>
      <c r="F21" s="19" t="s">
        <v>70</v>
      </c>
      <c r="G21" s="19"/>
      <c r="H21" s="20"/>
      <c r="I21" s="21" t="s">
        <v>420</v>
      </c>
      <c r="J21" s="18" t="s">
        <v>143</v>
      </c>
    </row>
    <row r="22" spans="1:10" ht="28.05" customHeight="1" x14ac:dyDescent="0.3">
      <c r="A22" s="15">
        <v>21</v>
      </c>
      <c r="B22" s="15" t="s">
        <v>144</v>
      </c>
      <c r="C22" s="15" t="s">
        <v>145</v>
      </c>
      <c r="D22" s="16" t="s">
        <v>84</v>
      </c>
      <c r="E22" s="17" t="s">
        <v>146</v>
      </c>
      <c r="F22" s="19" t="s">
        <v>28</v>
      </c>
      <c r="G22" s="19" t="s">
        <v>401</v>
      </c>
      <c r="H22" s="20"/>
      <c r="I22" s="21" t="s">
        <v>421</v>
      </c>
      <c r="J22" s="18" t="s">
        <v>147</v>
      </c>
    </row>
    <row r="23" spans="1:10" ht="28.05" customHeight="1" x14ac:dyDescent="0.3">
      <c r="A23" s="15">
        <v>22</v>
      </c>
      <c r="B23" s="15" t="s">
        <v>148</v>
      </c>
      <c r="C23" s="15" t="s">
        <v>83</v>
      </c>
      <c r="D23" s="16" t="s">
        <v>92</v>
      </c>
      <c r="E23" s="17" t="s">
        <v>149</v>
      </c>
      <c r="F23" s="19" t="s">
        <v>70</v>
      </c>
      <c r="G23" s="19"/>
      <c r="H23" s="20" t="s">
        <v>397</v>
      </c>
      <c r="I23" s="21" t="s">
        <v>422</v>
      </c>
      <c r="J23" s="18" t="s">
        <v>86</v>
      </c>
    </row>
    <row r="24" spans="1:10" ht="28.05" customHeight="1" x14ac:dyDescent="0.3">
      <c r="A24" s="15">
        <v>23</v>
      </c>
      <c r="B24" s="15" t="s">
        <v>150</v>
      </c>
      <c r="C24" s="15" t="s">
        <v>83</v>
      </c>
      <c r="D24" s="16" t="s">
        <v>107</v>
      </c>
      <c r="E24" s="17" t="s">
        <v>151</v>
      </c>
      <c r="F24" s="19" t="s">
        <v>70</v>
      </c>
      <c r="G24" s="19"/>
      <c r="H24" s="20"/>
      <c r="I24" s="21" t="s">
        <v>423</v>
      </c>
      <c r="J24" s="18" t="s">
        <v>86</v>
      </c>
    </row>
    <row r="25" spans="1:10" ht="28.05" customHeight="1" x14ac:dyDescent="0.3">
      <c r="A25" s="15">
        <v>24</v>
      </c>
      <c r="B25" s="15" t="s">
        <v>152</v>
      </c>
      <c r="C25" s="15" t="s">
        <v>83</v>
      </c>
      <c r="D25" s="16" t="s">
        <v>84</v>
      </c>
      <c r="E25" s="17" t="s">
        <v>153</v>
      </c>
      <c r="F25" s="19" t="s">
        <v>70</v>
      </c>
      <c r="G25" s="19"/>
      <c r="H25" s="20" t="s">
        <v>397</v>
      </c>
      <c r="I25" s="21" t="s">
        <v>414</v>
      </c>
      <c r="J25" s="18" t="s">
        <v>86</v>
      </c>
    </row>
    <row r="26" spans="1:10" ht="28.05" customHeight="1" x14ac:dyDescent="0.3">
      <c r="A26" s="15">
        <v>25</v>
      </c>
      <c r="B26" s="15" t="s">
        <v>154</v>
      </c>
      <c r="C26" s="15" t="s">
        <v>115</v>
      </c>
      <c r="D26" s="16" t="s">
        <v>84</v>
      </c>
      <c r="E26" s="17" t="s">
        <v>155</v>
      </c>
      <c r="F26" s="19" t="s">
        <v>70</v>
      </c>
      <c r="G26" s="19"/>
      <c r="H26" s="20" t="s">
        <v>397</v>
      </c>
      <c r="I26" s="21" t="s">
        <v>424</v>
      </c>
      <c r="J26" s="18" t="s">
        <v>117</v>
      </c>
    </row>
    <row r="27" spans="1:10" ht="28.05" customHeight="1" x14ac:dyDescent="0.3">
      <c r="A27" s="15">
        <v>26</v>
      </c>
      <c r="B27" s="15" t="s">
        <v>156</v>
      </c>
      <c r="C27" s="15" t="s">
        <v>115</v>
      </c>
      <c r="D27" s="16" t="s">
        <v>99</v>
      </c>
      <c r="E27" s="17" t="s">
        <v>157</v>
      </c>
      <c r="F27" s="19" t="s">
        <v>70</v>
      </c>
      <c r="G27" s="19"/>
      <c r="H27" s="20"/>
      <c r="I27" s="21" t="s">
        <v>410</v>
      </c>
      <c r="J27" s="18" t="s">
        <v>117</v>
      </c>
    </row>
    <row r="28" spans="1:10" ht="28.05" customHeight="1" x14ac:dyDescent="0.3">
      <c r="A28" s="15">
        <v>27</v>
      </c>
      <c r="B28" s="15" t="s">
        <v>158</v>
      </c>
      <c r="C28" s="15" t="s">
        <v>83</v>
      </c>
      <c r="D28" s="16" t="s">
        <v>99</v>
      </c>
      <c r="E28" s="17" t="s">
        <v>159</v>
      </c>
      <c r="F28" s="19" t="s">
        <v>31</v>
      </c>
      <c r="G28" s="19" t="s">
        <v>404</v>
      </c>
      <c r="H28" s="20"/>
      <c r="I28" s="21" t="s">
        <v>425</v>
      </c>
      <c r="J28" s="18" t="s">
        <v>86</v>
      </c>
    </row>
    <row r="29" spans="1:10" ht="28.05" customHeight="1" x14ac:dyDescent="0.3">
      <c r="A29" s="15">
        <v>28</v>
      </c>
      <c r="B29" s="15" t="s">
        <v>160</v>
      </c>
      <c r="C29" s="15" t="s">
        <v>103</v>
      </c>
      <c r="D29" s="16" t="s">
        <v>88</v>
      </c>
      <c r="E29" s="17" t="s">
        <v>161</v>
      </c>
      <c r="F29" s="19" t="s">
        <v>43</v>
      </c>
      <c r="G29" s="19" t="s">
        <v>404</v>
      </c>
      <c r="H29" s="20"/>
      <c r="I29" s="21" t="s">
        <v>426</v>
      </c>
      <c r="J29" s="18" t="s">
        <v>105</v>
      </c>
    </row>
    <row r="30" spans="1:10" ht="28.05" customHeight="1" x14ac:dyDescent="0.3">
      <c r="A30" s="15">
        <v>29</v>
      </c>
      <c r="B30" s="15" t="s">
        <v>162</v>
      </c>
      <c r="C30" s="15" t="s">
        <v>163</v>
      </c>
      <c r="D30" s="16" t="s">
        <v>99</v>
      </c>
      <c r="E30" s="17" t="s">
        <v>164</v>
      </c>
      <c r="F30" s="19" t="s">
        <v>43</v>
      </c>
      <c r="G30" s="19" t="s">
        <v>401</v>
      </c>
      <c r="H30" s="20"/>
      <c r="I30" s="21" t="s">
        <v>427</v>
      </c>
      <c r="J30" s="18" t="s">
        <v>165</v>
      </c>
    </row>
    <row r="31" spans="1:10" ht="28.05" customHeight="1" x14ac:dyDescent="0.3">
      <c r="A31" s="15">
        <v>30</v>
      </c>
      <c r="B31" s="15" t="s">
        <v>166</v>
      </c>
      <c r="C31" s="15" t="s">
        <v>167</v>
      </c>
      <c r="D31" s="16" t="s">
        <v>92</v>
      </c>
      <c r="E31" s="17" t="s">
        <v>168</v>
      </c>
      <c r="F31" s="19" t="s">
        <v>70</v>
      </c>
      <c r="G31" s="19"/>
      <c r="H31" s="20" t="s">
        <v>397</v>
      </c>
      <c r="I31" s="21" t="s">
        <v>428</v>
      </c>
      <c r="J31" s="18" t="s">
        <v>169</v>
      </c>
    </row>
    <row r="32" spans="1:10" ht="28.05" customHeight="1" x14ac:dyDescent="0.3">
      <c r="A32" s="15">
        <v>31</v>
      </c>
      <c r="B32" s="15" t="s">
        <v>170</v>
      </c>
      <c r="C32" s="15" t="s">
        <v>83</v>
      </c>
      <c r="D32" s="16" t="s">
        <v>171</v>
      </c>
      <c r="E32" s="17" t="s">
        <v>172</v>
      </c>
      <c r="F32" s="19" t="s">
        <v>70</v>
      </c>
      <c r="G32" s="19"/>
      <c r="H32" s="20" t="s">
        <v>397</v>
      </c>
      <c r="I32" s="21" t="s">
        <v>414</v>
      </c>
      <c r="J32" s="18" t="s">
        <v>86</v>
      </c>
    </row>
    <row r="33" spans="1:10" ht="28.05" customHeight="1" x14ac:dyDescent="0.3">
      <c r="A33" s="15">
        <v>32</v>
      </c>
      <c r="B33" s="15" t="s">
        <v>173</v>
      </c>
      <c r="C33" s="15" t="s">
        <v>174</v>
      </c>
      <c r="D33" s="16" t="s">
        <v>171</v>
      </c>
      <c r="E33" s="17" t="s">
        <v>175</v>
      </c>
      <c r="F33" s="19" t="s">
        <v>43</v>
      </c>
      <c r="G33" s="19" t="s">
        <v>401</v>
      </c>
      <c r="H33" s="20"/>
      <c r="I33" s="21" t="s">
        <v>429</v>
      </c>
      <c r="J33" s="18" t="s">
        <v>176</v>
      </c>
    </row>
    <row r="34" spans="1:10" ht="28.05" customHeight="1" x14ac:dyDescent="0.3">
      <c r="A34" s="15">
        <v>33</v>
      </c>
      <c r="B34" s="15" t="s">
        <v>177</v>
      </c>
      <c r="C34" s="15" t="s">
        <v>131</v>
      </c>
      <c r="D34" s="16" t="s">
        <v>99</v>
      </c>
      <c r="E34" s="17" t="s">
        <v>178</v>
      </c>
      <c r="F34" s="19" t="s">
        <v>43</v>
      </c>
      <c r="G34" s="19" t="s">
        <v>404</v>
      </c>
      <c r="H34" s="20"/>
      <c r="I34" s="21" t="s">
        <v>430</v>
      </c>
      <c r="J34" s="18" t="s">
        <v>133</v>
      </c>
    </row>
    <row r="35" spans="1:10" ht="28.05" customHeight="1" x14ac:dyDescent="0.3">
      <c r="A35" s="15">
        <v>34</v>
      </c>
      <c r="B35" s="15" t="s">
        <v>179</v>
      </c>
      <c r="C35" s="15" t="s">
        <v>123</v>
      </c>
      <c r="D35" s="16" t="s">
        <v>88</v>
      </c>
      <c r="E35" s="17" t="s">
        <v>180</v>
      </c>
      <c r="F35" s="19" t="s">
        <v>43</v>
      </c>
      <c r="G35" s="19" t="s">
        <v>401</v>
      </c>
      <c r="H35" s="20" t="s">
        <v>397</v>
      </c>
      <c r="I35" s="21" t="s">
        <v>431</v>
      </c>
      <c r="J35" s="18" t="s">
        <v>125</v>
      </c>
    </row>
    <row r="36" spans="1:10" ht="28.05" customHeight="1" x14ac:dyDescent="0.3">
      <c r="A36" s="15">
        <v>35</v>
      </c>
      <c r="B36" s="15" t="s">
        <v>181</v>
      </c>
      <c r="C36" s="15" t="s">
        <v>83</v>
      </c>
      <c r="D36" s="16" t="s">
        <v>171</v>
      </c>
      <c r="E36" s="17" t="s">
        <v>182</v>
      </c>
      <c r="F36" s="19" t="s">
        <v>70</v>
      </c>
      <c r="G36" s="19"/>
      <c r="H36" s="20" t="s">
        <v>397</v>
      </c>
      <c r="I36" s="21" t="s">
        <v>432</v>
      </c>
      <c r="J36" s="18" t="s">
        <v>86</v>
      </c>
    </row>
    <row r="37" spans="1:10" ht="28.05" customHeight="1" x14ac:dyDescent="0.3">
      <c r="A37" s="15">
        <v>36</v>
      </c>
      <c r="B37" s="15" t="s">
        <v>183</v>
      </c>
      <c r="C37" s="15" t="s">
        <v>83</v>
      </c>
      <c r="D37" s="16" t="s">
        <v>84</v>
      </c>
      <c r="E37" s="17" t="s">
        <v>184</v>
      </c>
      <c r="F37" s="19" t="s">
        <v>70</v>
      </c>
      <c r="G37" s="19"/>
      <c r="H37" s="20" t="s">
        <v>397</v>
      </c>
      <c r="I37" s="21" t="s">
        <v>433</v>
      </c>
      <c r="J37" s="18" t="s">
        <v>86</v>
      </c>
    </row>
    <row r="38" spans="1:10" ht="28.05" customHeight="1" x14ac:dyDescent="0.3">
      <c r="A38" s="15">
        <v>37</v>
      </c>
      <c r="B38" s="15" t="s">
        <v>185</v>
      </c>
      <c r="C38" s="15" t="s">
        <v>83</v>
      </c>
      <c r="D38" s="16" t="s">
        <v>84</v>
      </c>
      <c r="E38" s="17" t="s">
        <v>186</v>
      </c>
      <c r="F38" s="19" t="s">
        <v>70</v>
      </c>
      <c r="G38" s="19"/>
      <c r="H38" s="20" t="s">
        <v>397</v>
      </c>
      <c r="I38" s="21" t="s">
        <v>433</v>
      </c>
      <c r="J38" s="18" t="s">
        <v>86</v>
      </c>
    </row>
    <row r="39" spans="1:10" ht="28.05" customHeight="1" x14ac:dyDescent="0.3">
      <c r="A39" s="15">
        <v>38</v>
      </c>
      <c r="B39" s="15" t="s">
        <v>187</v>
      </c>
      <c r="C39" s="15" t="s">
        <v>83</v>
      </c>
      <c r="D39" s="16" t="s">
        <v>99</v>
      </c>
      <c r="E39" s="17" t="s">
        <v>188</v>
      </c>
      <c r="F39" s="19" t="s">
        <v>31</v>
      </c>
      <c r="G39" s="19" t="s">
        <v>401</v>
      </c>
      <c r="H39" s="20"/>
      <c r="I39" s="21" t="s">
        <v>434</v>
      </c>
      <c r="J39" s="18" t="s">
        <v>86</v>
      </c>
    </row>
    <row r="40" spans="1:10" ht="28.05" customHeight="1" x14ac:dyDescent="0.3">
      <c r="A40" s="15">
        <v>39</v>
      </c>
      <c r="B40" s="15" t="s">
        <v>189</v>
      </c>
      <c r="C40" s="15" t="s">
        <v>83</v>
      </c>
      <c r="D40" s="16" t="s">
        <v>107</v>
      </c>
      <c r="E40" s="17" t="s">
        <v>190</v>
      </c>
      <c r="F40" s="19" t="s">
        <v>43</v>
      </c>
      <c r="G40" s="19" t="s">
        <v>401</v>
      </c>
      <c r="H40" s="20"/>
      <c r="I40" s="21" t="s">
        <v>435</v>
      </c>
      <c r="J40" s="18" t="s">
        <v>86</v>
      </c>
    </row>
    <row r="41" spans="1:10" ht="28.05" customHeight="1" x14ac:dyDescent="0.3">
      <c r="A41" s="15">
        <v>40</v>
      </c>
      <c r="B41" s="15" t="s">
        <v>191</v>
      </c>
      <c r="C41" s="15" t="s">
        <v>83</v>
      </c>
      <c r="D41" s="16" t="s">
        <v>171</v>
      </c>
      <c r="E41" s="17" t="s">
        <v>192</v>
      </c>
      <c r="F41" s="19" t="s">
        <v>28</v>
      </c>
      <c r="G41" s="19" t="s">
        <v>401</v>
      </c>
      <c r="H41" s="20"/>
      <c r="I41" s="21" t="s">
        <v>436</v>
      </c>
      <c r="J41" s="18" t="s">
        <v>86</v>
      </c>
    </row>
    <row r="42" spans="1:10" ht="28.05" customHeight="1" x14ac:dyDescent="0.3">
      <c r="A42" s="15">
        <v>41</v>
      </c>
      <c r="B42" s="15" t="s">
        <v>193</v>
      </c>
      <c r="C42" s="15" t="s">
        <v>91</v>
      </c>
      <c r="D42" s="16" t="s">
        <v>99</v>
      </c>
      <c r="E42" s="17" t="s">
        <v>194</v>
      </c>
      <c r="F42" s="19" t="s">
        <v>70</v>
      </c>
      <c r="G42" s="19"/>
      <c r="H42" s="20"/>
      <c r="I42" s="21" t="s">
        <v>437</v>
      </c>
      <c r="J42" s="18" t="s">
        <v>94</v>
      </c>
    </row>
    <row r="43" spans="1:10" ht="28.05" customHeight="1" x14ac:dyDescent="0.3">
      <c r="A43" s="15">
        <v>42</v>
      </c>
      <c r="B43" s="15" t="s">
        <v>195</v>
      </c>
      <c r="C43" s="15" t="s">
        <v>83</v>
      </c>
      <c r="D43" s="16" t="s">
        <v>107</v>
      </c>
      <c r="E43" s="17" t="s">
        <v>196</v>
      </c>
      <c r="F43" s="19" t="s">
        <v>70</v>
      </c>
      <c r="G43" s="19"/>
      <c r="H43" s="20" t="s">
        <v>397</v>
      </c>
      <c r="I43" s="21" t="s">
        <v>414</v>
      </c>
      <c r="J43" s="18" t="s">
        <v>86</v>
      </c>
    </row>
    <row r="44" spans="1:10" ht="28.05" customHeight="1" x14ac:dyDescent="0.3">
      <c r="A44" s="15">
        <v>43</v>
      </c>
      <c r="B44" s="15" t="s">
        <v>197</v>
      </c>
      <c r="C44" s="15" t="s">
        <v>83</v>
      </c>
      <c r="D44" s="16" t="s">
        <v>88</v>
      </c>
      <c r="E44" s="17" t="s">
        <v>198</v>
      </c>
      <c r="F44" s="19" t="s">
        <v>70</v>
      </c>
      <c r="G44" s="19"/>
      <c r="H44" s="20"/>
      <c r="I44" s="21" t="s">
        <v>438</v>
      </c>
      <c r="J44" s="18" t="s">
        <v>86</v>
      </c>
    </row>
    <row r="45" spans="1:10" ht="28.05" customHeight="1" x14ac:dyDescent="0.3">
      <c r="A45" s="15">
        <v>44</v>
      </c>
      <c r="B45" s="15" t="s">
        <v>199</v>
      </c>
      <c r="C45" s="15" t="s">
        <v>145</v>
      </c>
      <c r="D45" s="16" t="s">
        <v>112</v>
      </c>
      <c r="E45" s="17" t="s">
        <v>146</v>
      </c>
      <c r="F45" s="19" t="s">
        <v>28</v>
      </c>
      <c r="G45" s="19" t="s">
        <v>401</v>
      </c>
      <c r="H45" s="20"/>
      <c r="I45" s="21" t="s">
        <v>439</v>
      </c>
      <c r="J45" s="18" t="s">
        <v>147</v>
      </c>
    </row>
    <row r="46" spans="1:10" ht="28.05" customHeight="1" x14ac:dyDescent="0.3">
      <c r="A46" s="15">
        <v>45</v>
      </c>
      <c r="B46" s="15" t="s">
        <v>200</v>
      </c>
      <c r="C46" s="15" t="s">
        <v>115</v>
      </c>
      <c r="D46" s="16" t="s">
        <v>112</v>
      </c>
      <c r="E46" s="17" t="s">
        <v>201</v>
      </c>
      <c r="F46" s="19" t="s">
        <v>70</v>
      </c>
      <c r="G46" s="19"/>
      <c r="H46" s="20"/>
      <c r="I46" s="21" t="s">
        <v>440</v>
      </c>
      <c r="J46" s="18" t="s">
        <v>117</v>
      </c>
    </row>
    <row r="47" spans="1:10" ht="28.05" customHeight="1" x14ac:dyDescent="0.3">
      <c r="A47" s="15">
        <v>46</v>
      </c>
      <c r="B47" s="15" t="s">
        <v>202</v>
      </c>
      <c r="C47" s="15" t="s">
        <v>145</v>
      </c>
      <c r="D47" s="16" t="s">
        <v>92</v>
      </c>
      <c r="E47" s="17" t="s">
        <v>203</v>
      </c>
      <c r="F47" s="19" t="s">
        <v>28</v>
      </c>
      <c r="G47" s="19" t="s">
        <v>401</v>
      </c>
      <c r="H47" s="20"/>
      <c r="I47" s="21" t="s">
        <v>439</v>
      </c>
      <c r="J47" s="18" t="s">
        <v>147</v>
      </c>
    </row>
    <row r="48" spans="1:10" ht="28.05" customHeight="1" x14ac:dyDescent="0.3">
      <c r="A48" s="15">
        <v>47</v>
      </c>
      <c r="B48" s="15" t="s">
        <v>204</v>
      </c>
      <c r="C48" s="15" t="s">
        <v>103</v>
      </c>
      <c r="D48" s="16" t="s">
        <v>99</v>
      </c>
      <c r="E48" s="17" t="s">
        <v>205</v>
      </c>
      <c r="F48" s="19" t="s">
        <v>43</v>
      </c>
      <c r="G48" s="19" t="s">
        <v>404</v>
      </c>
      <c r="H48" s="20"/>
      <c r="I48" s="21" t="s">
        <v>426</v>
      </c>
      <c r="J48" s="18" t="s">
        <v>105</v>
      </c>
    </row>
    <row r="49" spans="1:10" ht="28.05" customHeight="1" x14ac:dyDescent="0.3">
      <c r="A49" s="15">
        <v>48</v>
      </c>
      <c r="B49" s="15" t="s">
        <v>206</v>
      </c>
      <c r="C49" s="15" t="s">
        <v>207</v>
      </c>
      <c r="D49" s="16" t="s">
        <v>84</v>
      </c>
      <c r="E49" s="17" t="s">
        <v>208</v>
      </c>
      <c r="F49" s="19" t="s">
        <v>70</v>
      </c>
      <c r="G49" s="19"/>
      <c r="H49" s="20"/>
      <c r="I49" s="21" t="s">
        <v>441</v>
      </c>
      <c r="J49" s="18" t="s">
        <v>209</v>
      </c>
    </row>
    <row r="50" spans="1:10" ht="28.05" customHeight="1" x14ac:dyDescent="0.3">
      <c r="A50" s="15">
        <v>49</v>
      </c>
      <c r="B50" s="15" t="s">
        <v>210</v>
      </c>
      <c r="C50" s="15" t="s">
        <v>83</v>
      </c>
      <c r="D50" s="16" t="s">
        <v>92</v>
      </c>
      <c r="E50" s="17" t="s">
        <v>153</v>
      </c>
      <c r="F50" s="19" t="s">
        <v>70</v>
      </c>
      <c r="G50" s="19"/>
      <c r="H50" s="20" t="s">
        <v>397</v>
      </c>
      <c r="I50" s="21" t="s">
        <v>414</v>
      </c>
      <c r="J50" s="18" t="s">
        <v>86</v>
      </c>
    </row>
    <row r="51" spans="1:10" ht="28.05" customHeight="1" x14ac:dyDescent="0.3">
      <c r="A51" s="15">
        <v>50</v>
      </c>
      <c r="B51" s="15" t="s">
        <v>211</v>
      </c>
      <c r="C51" s="15" t="s">
        <v>145</v>
      </c>
      <c r="D51" s="16" t="s">
        <v>92</v>
      </c>
      <c r="E51" s="17" t="s">
        <v>212</v>
      </c>
      <c r="F51" s="19" t="s">
        <v>28</v>
      </c>
      <c r="G51" s="19" t="s">
        <v>401</v>
      </c>
      <c r="H51" s="20"/>
      <c r="I51" s="21" t="s">
        <v>439</v>
      </c>
      <c r="J51" s="18" t="s">
        <v>147</v>
      </c>
    </row>
    <row r="52" spans="1:10" ht="28.05" customHeight="1" x14ac:dyDescent="0.3">
      <c r="A52" s="15">
        <v>51</v>
      </c>
      <c r="B52" s="15" t="s">
        <v>213</v>
      </c>
      <c r="C52" s="15" t="s">
        <v>207</v>
      </c>
      <c r="D52" s="16" t="s">
        <v>88</v>
      </c>
      <c r="E52" s="17" t="s">
        <v>214</v>
      </c>
      <c r="F52" s="19" t="s">
        <v>70</v>
      </c>
      <c r="G52" s="19"/>
      <c r="H52" s="20"/>
      <c r="I52" s="21" t="s">
        <v>442</v>
      </c>
      <c r="J52" s="18" t="s">
        <v>209</v>
      </c>
    </row>
    <row r="53" spans="1:10" ht="28.05" customHeight="1" x14ac:dyDescent="0.3">
      <c r="A53" s="15">
        <v>52</v>
      </c>
      <c r="B53" s="15" t="s">
        <v>199</v>
      </c>
      <c r="C53" s="15" t="s">
        <v>145</v>
      </c>
      <c r="D53" s="16" t="s">
        <v>107</v>
      </c>
      <c r="E53" s="17" t="s">
        <v>215</v>
      </c>
      <c r="F53" s="19" t="s">
        <v>28</v>
      </c>
      <c r="G53" s="19" t="s">
        <v>401</v>
      </c>
      <c r="H53" s="20"/>
      <c r="I53" s="21" t="s">
        <v>439</v>
      </c>
      <c r="J53" s="18" t="s">
        <v>147</v>
      </c>
    </row>
    <row r="54" spans="1:10" ht="28.05" customHeight="1" x14ac:dyDescent="0.3">
      <c r="A54" s="15">
        <v>53</v>
      </c>
      <c r="B54" s="15" t="s">
        <v>216</v>
      </c>
      <c r="C54" s="15" t="s">
        <v>83</v>
      </c>
      <c r="D54" s="16" t="s">
        <v>171</v>
      </c>
      <c r="E54" s="17" t="s">
        <v>217</v>
      </c>
      <c r="F54" s="19" t="s">
        <v>28</v>
      </c>
      <c r="G54" s="19" t="s">
        <v>401</v>
      </c>
      <c r="H54" s="20" t="s">
        <v>397</v>
      </c>
      <c r="I54" s="21" t="s">
        <v>443</v>
      </c>
      <c r="J54" s="18" t="s">
        <v>86</v>
      </c>
    </row>
    <row r="55" spans="1:10" ht="28.05" customHeight="1" x14ac:dyDescent="0.3">
      <c r="A55" s="15">
        <v>54</v>
      </c>
      <c r="B55" s="15" t="s">
        <v>218</v>
      </c>
      <c r="C55" s="15" t="s">
        <v>145</v>
      </c>
      <c r="D55" s="16" t="s">
        <v>107</v>
      </c>
      <c r="E55" s="17" t="s">
        <v>219</v>
      </c>
      <c r="F55" s="19" t="s">
        <v>28</v>
      </c>
      <c r="G55" s="19" t="s">
        <v>401</v>
      </c>
      <c r="H55" s="20"/>
      <c r="I55" s="21" t="s">
        <v>439</v>
      </c>
      <c r="J55" s="18" t="s">
        <v>147</v>
      </c>
    </row>
    <row r="56" spans="1:10" ht="28.05" customHeight="1" x14ac:dyDescent="0.3">
      <c r="A56" s="15">
        <v>55</v>
      </c>
      <c r="B56" s="15" t="s">
        <v>220</v>
      </c>
      <c r="C56" s="15" t="s">
        <v>83</v>
      </c>
      <c r="D56" s="16" t="s">
        <v>112</v>
      </c>
      <c r="E56" s="17" t="s">
        <v>221</v>
      </c>
      <c r="F56" s="19" t="s">
        <v>64</v>
      </c>
      <c r="G56" s="19"/>
      <c r="H56" s="20" t="s">
        <v>397</v>
      </c>
      <c r="I56" s="21" t="s">
        <v>444</v>
      </c>
      <c r="J56" s="18" t="s">
        <v>86</v>
      </c>
    </row>
    <row r="57" spans="1:10" ht="28.05" customHeight="1" x14ac:dyDescent="0.3">
      <c r="A57" s="15">
        <v>56</v>
      </c>
      <c r="B57" s="15" t="s">
        <v>222</v>
      </c>
      <c r="C57" s="15" t="s">
        <v>83</v>
      </c>
      <c r="D57" s="16" t="s">
        <v>112</v>
      </c>
      <c r="E57" s="17" t="s">
        <v>223</v>
      </c>
      <c r="F57" s="19" t="s">
        <v>70</v>
      </c>
      <c r="G57" s="19"/>
      <c r="H57" s="20" t="s">
        <v>397</v>
      </c>
      <c r="I57" s="21" t="s">
        <v>414</v>
      </c>
      <c r="J57" s="18" t="s">
        <v>86</v>
      </c>
    </row>
    <row r="58" spans="1:10" ht="28.05" customHeight="1" x14ac:dyDescent="0.3">
      <c r="A58" s="15">
        <v>57</v>
      </c>
      <c r="B58" s="15" t="s">
        <v>224</v>
      </c>
      <c r="C58" s="15" t="s">
        <v>83</v>
      </c>
      <c r="D58" s="16" t="s">
        <v>92</v>
      </c>
      <c r="E58" s="17" t="s">
        <v>225</v>
      </c>
      <c r="F58" s="19" t="s">
        <v>43</v>
      </c>
      <c r="G58" s="19" t="s">
        <v>401</v>
      </c>
      <c r="H58" s="20"/>
      <c r="I58" s="21" t="s">
        <v>445</v>
      </c>
      <c r="J58" s="18" t="s">
        <v>86</v>
      </c>
    </row>
    <row r="59" spans="1:10" ht="28.05" customHeight="1" x14ac:dyDescent="0.3">
      <c r="A59" s="15">
        <v>58</v>
      </c>
      <c r="B59" s="15" t="s">
        <v>226</v>
      </c>
      <c r="C59" s="15" t="s">
        <v>163</v>
      </c>
      <c r="D59" s="16" t="s">
        <v>99</v>
      </c>
      <c r="E59" s="17" t="s">
        <v>227</v>
      </c>
      <c r="F59" s="19" t="s">
        <v>43</v>
      </c>
      <c r="G59" s="19" t="s">
        <v>401</v>
      </c>
      <c r="H59" s="20"/>
      <c r="I59" s="21" t="s">
        <v>446</v>
      </c>
      <c r="J59" s="18" t="s">
        <v>165</v>
      </c>
    </row>
    <row r="60" spans="1:10" ht="28.05" customHeight="1" x14ac:dyDescent="0.3">
      <c r="A60" s="15">
        <v>59</v>
      </c>
      <c r="B60" s="15" t="s">
        <v>228</v>
      </c>
      <c r="C60" s="15" t="s">
        <v>83</v>
      </c>
      <c r="D60" s="16" t="s">
        <v>84</v>
      </c>
      <c r="E60" s="17" t="s">
        <v>229</v>
      </c>
      <c r="F60" s="19" t="s">
        <v>70</v>
      </c>
      <c r="G60" s="19"/>
      <c r="H60" s="20"/>
      <c r="I60" s="21" t="s">
        <v>447</v>
      </c>
      <c r="J60" s="18" t="s">
        <v>86</v>
      </c>
    </row>
    <row r="61" spans="1:10" ht="28.05" customHeight="1" x14ac:dyDescent="0.3">
      <c r="A61" s="15">
        <v>60</v>
      </c>
      <c r="B61" s="15" t="s">
        <v>230</v>
      </c>
      <c r="C61" s="15" t="s">
        <v>231</v>
      </c>
      <c r="D61" s="16" t="s">
        <v>99</v>
      </c>
      <c r="E61" s="17" t="s">
        <v>232</v>
      </c>
      <c r="F61" s="19" t="s">
        <v>70</v>
      </c>
      <c r="G61" s="19"/>
      <c r="H61" s="20"/>
      <c r="I61" s="21" t="s">
        <v>448</v>
      </c>
      <c r="J61" s="18" t="s">
        <v>233</v>
      </c>
    </row>
    <row r="62" spans="1:10" ht="28.05" customHeight="1" x14ac:dyDescent="0.3">
      <c r="A62" s="15">
        <v>61</v>
      </c>
      <c r="B62" s="15" t="s">
        <v>234</v>
      </c>
      <c r="C62" s="15" t="s">
        <v>83</v>
      </c>
      <c r="D62" s="16" t="s">
        <v>112</v>
      </c>
      <c r="E62" s="17" t="s">
        <v>235</v>
      </c>
      <c r="F62" s="19" t="s">
        <v>70</v>
      </c>
      <c r="G62" s="19"/>
      <c r="H62" s="20"/>
      <c r="I62" s="21" t="s">
        <v>449</v>
      </c>
      <c r="J62" s="18" t="s">
        <v>86</v>
      </c>
    </row>
    <row r="63" spans="1:10" ht="28.05" customHeight="1" x14ac:dyDescent="0.3">
      <c r="A63" s="15">
        <v>62</v>
      </c>
      <c r="B63" s="15" t="s">
        <v>236</v>
      </c>
      <c r="C63" s="15" t="s">
        <v>163</v>
      </c>
      <c r="D63" s="16" t="s">
        <v>171</v>
      </c>
      <c r="E63" s="17" t="s">
        <v>237</v>
      </c>
      <c r="F63" s="19" t="s">
        <v>43</v>
      </c>
      <c r="G63" s="19" t="s">
        <v>401</v>
      </c>
      <c r="H63" s="20"/>
      <c r="I63" s="21" t="s">
        <v>450</v>
      </c>
      <c r="J63" s="18" t="s">
        <v>165</v>
      </c>
    </row>
    <row r="64" spans="1:10" ht="28.05" customHeight="1" x14ac:dyDescent="0.3">
      <c r="A64" s="15">
        <v>63</v>
      </c>
      <c r="B64" s="15" t="s">
        <v>238</v>
      </c>
      <c r="C64" s="15" t="s">
        <v>231</v>
      </c>
      <c r="D64" s="16" t="s">
        <v>84</v>
      </c>
      <c r="E64" s="17" t="s">
        <v>239</v>
      </c>
      <c r="F64" s="19" t="s">
        <v>43</v>
      </c>
      <c r="G64" s="19" t="s">
        <v>401</v>
      </c>
      <c r="H64" s="20"/>
      <c r="I64" s="21" t="s">
        <v>451</v>
      </c>
      <c r="J64" s="18" t="s">
        <v>233</v>
      </c>
    </row>
    <row r="65" spans="1:10" ht="28.05" customHeight="1" x14ac:dyDescent="0.3">
      <c r="A65" s="15">
        <v>64</v>
      </c>
      <c r="B65" s="15" t="s">
        <v>240</v>
      </c>
      <c r="C65" s="15" t="s">
        <v>91</v>
      </c>
      <c r="D65" s="16" t="s">
        <v>107</v>
      </c>
      <c r="E65" s="17" t="s">
        <v>241</v>
      </c>
      <c r="F65" s="19" t="s">
        <v>70</v>
      </c>
      <c r="G65" s="19"/>
      <c r="H65" s="20"/>
      <c r="I65" s="21" t="s">
        <v>437</v>
      </c>
      <c r="J65" s="18" t="s">
        <v>94</v>
      </c>
    </row>
    <row r="66" spans="1:10" ht="28.05" customHeight="1" x14ac:dyDescent="0.3">
      <c r="A66" s="15">
        <v>65</v>
      </c>
      <c r="B66" s="15" t="s">
        <v>242</v>
      </c>
      <c r="C66" s="15" t="s">
        <v>83</v>
      </c>
      <c r="D66" s="16" t="s">
        <v>99</v>
      </c>
      <c r="E66" s="17" t="s">
        <v>243</v>
      </c>
      <c r="F66" s="19" t="s">
        <v>70</v>
      </c>
      <c r="G66" s="19"/>
      <c r="H66" s="20"/>
      <c r="I66" s="21" t="s">
        <v>452</v>
      </c>
      <c r="J66" s="18" t="s">
        <v>86</v>
      </c>
    </row>
    <row r="67" spans="1:10" ht="28.05" customHeight="1" x14ac:dyDescent="0.3">
      <c r="A67" s="15">
        <v>66</v>
      </c>
      <c r="B67" s="15" t="s">
        <v>244</v>
      </c>
      <c r="C67" s="15" t="s">
        <v>83</v>
      </c>
      <c r="D67" s="16" t="s">
        <v>107</v>
      </c>
      <c r="E67" s="17" t="s">
        <v>172</v>
      </c>
      <c r="F67" s="19" t="s">
        <v>70</v>
      </c>
      <c r="G67" s="19"/>
      <c r="H67" s="20" t="s">
        <v>397</v>
      </c>
      <c r="I67" s="21" t="s">
        <v>414</v>
      </c>
      <c r="J67" s="18" t="s">
        <v>86</v>
      </c>
    </row>
    <row r="68" spans="1:10" ht="28.05" customHeight="1" x14ac:dyDescent="0.3">
      <c r="A68" s="15">
        <v>67</v>
      </c>
      <c r="B68" s="15" t="s">
        <v>245</v>
      </c>
      <c r="C68" s="15" t="s">
        <v>115</v>
      </c>
      <c r="D68" s="16" t="s">
        <v>88</v>
      </c>
      <c r="E68" s="17" t="s">
        <v>246</v>
      </c>
      <c r="F68" s="19" t="s">
        <v>70</v>
      </c>
      <c r="G68" s="19"/>
      <c r="H68" s="20" t="s">
        <v>397</v>
      </c>
      <c r="I68" s="21" t="s">
        <v>453</v>
      </c>
      <c r="J68" s="18" t="s">
        <v>117</v>
      </c>
    </row>
    <row r="69" spans="1:10" ht="28.05" customHeight="1" x14ac:dyDescent="0.3">
      <c r="A69" s="15">
        <v>68</v>
      </c>
      <c r="B69" s="15" t="s">
        <v>247</v>
      </c>
      <c r="C69" s="15" t="s">
        <v>248</v>
      </c>
      <c r="D69" s="16" t="s">
        <v>84</v>
      </c>
      <c r="E69" s="17" t="s">
        <v>249</v>
      </c>
      <c r="F69" s="19" t="s">
        <v>31</v>
      </c>
      <c r="G69" s="19" t="s">
        <v>401</v>
      </c>
      <c r="H69" s="20" t="s">
        <v>397</v>
      </c>
      <c r="I69" s="21" t="s">
        <v>454</v>
      </c>
      <c r="J69" s="18" t="s">
        <v>250</v>
      </c>
    </row>
    <row r="70" spans="1:10" ht="28.05" customHeight="1" x14ac:dyDescent="0.3">
      <c r="A70" s="15">
        <v>69</v>
      </c>
      <c r="B70" s="15" t="s">
        <v>251</v>
      </c>
      <c r="C70" s="15" t="s">
        <v>115</v>
      </c>
      <c r="D70" s="16" t="s">
        <v>84</v>
      </c>
      <c r="E70" s="17" t="s">
        <v>252</v>
      </c>
      <c r="F70" s="19" t="s">
        <v>70</v>
      </c>
      <c r="G70" s="19"/>
      <c r="H70" s="20" t="s">
        <v>397</v>
      </c>
      <c r="I70" s="21" t="s">
        <v>455</v>
      </c>
      <c r="J70" s="18" t="s">
        <v>117</v>
      </c>
    </row>
    <row r="71" spans="1:10" ht="28.05" customHeight="1" x14ac:dyDescent="0.3">
      <c r="A71" s="15">
        <v>70</v>
      </c>
      <c r="B71" s="15" t="s">
        <v>253</v>
      </c>
      <c r="C71" s="15" t="s">
        <v>254</v>
      </c>
      <c r="D71" s="16" t="s">
        <v>88</v>
      </c>
      <c r="E71" s="17" t="s">
        <v>255</v>
      </c>
      <c r="F71" s="19" t="s">
        <v>43</v>
      </c>
      <c r="G71" s="19" t="s">
        <v>401</v>
      </c>
      <c r="H71" s="20"/>
      <c r="I71" s="21" t="s">
        <v>456</v>
      </c>
      <c r="J71" s="18" t="s">
        <v>256</v>
      </c>
    </row>
    <row r="72" spans="1:10" ht="28.05" customHeight="1" x14ac:dyDescent="0.3">
      <c r="A72" s="15">
        <v>71</v>
      </c>
      <c r="B72" s="15" t="s">
        <v>257</v>
      </c>
      <c r="C72" s="15" t="s">
        <v>83</v>
      </c>
      <c r="D72" s="16" t="s">
        <v>99</v>
      </c>
      <c r="E72" s="17" t="s">
        <v>258</v>
      </c>
      <c r="F72" s="19" t="s">
        <v>70</v>
      </c>
      <c r="G72" s="19"/>
      <c r="H72" s="20" t="s">
        <v>397</v>
      </c>
      <c r="I72" s="21" t="s">
        <v>457</v>
      </c>
      <c r="J72" s="18" t="s">
        <v>86</v>
      </c>
    </row>
    <row r="73" spans="1:10" ht="28.05" customHeight="1" x14ac:dyDescent="0.3">
      <c r="A73" s="15">
        <v>72</v>
      </c>
      <c r="B73" s="15" t="s">
        <v>259</v>
      </c>
      <c r="C73" s="15" t="s">
        <v>83</v>
      </c>
      <c r="D73" s="16" t="s">
        <v>107</v>
      </c>
      <c r="E73" s="17" t="s">
        <v>260</v>
      </c>
      <c r="F73" s="19" t="s">
        <v>70</v>
      </c>
      <c r="G73" s="19"/>
      <c r="H73" s="20"/>
      <c r="I73" s="21" t="s">
        <v>458</v>
      </c>
      <c r="J73" s="18" t="s">
        <v>86</v>
      </c>
    </row>
    <row r="74" spans="1:10" ht="28.05" customHeight="1" x14ac:dyDescent="0.3">
      <c r="A74" s="15">
        <v>73</v>
      </c>
      <c r="B74" s="15" t="s">
        <v>261</v>
      </c>
      <c r="C74" s="15" t="s">
        <v>231</v>
      </c>
      <c r="D74" s="16" t="s">
        <v>107</v>
      </c>
      <c r="E74" s="17" t="s">
        <v>262</v>
      </c>
      <c r="F74" s="19" t="s">
        <v>70</v>
      </c>
      <c r="G74" s="19"/>
      <c r="H74" s="20"/>
      <c r="I74" s="21" t="s">
        <v>448</v>
      </c>
      <c r="J74" s="18" t="s">
        <v>233</v>
      </c>
    </row>
    <row r="75" spans="1:10" ht="28.05" customHeight="1" x14ac:dyDescent="0.3">
      <c r="A75" s="15">
        <v>74</v>
      </c>
      <c r="B75" s="15" t="s">
        <v>263</v>
      </c>
      <c r="C75" s="15" t="s">
        <v>264</v>
      </c>
      <c r="D75" s="16" t="s">
        <v>99</v>
      </c>
      <c r="E75" s="17" t="s">
        <v>265</v>
      </c>
      <c r="F75" s="19" t="s">
        <v>70</v>
      </c>
      <c r="G75" s="19"/>
      <c r="H75" s="20"/>
      <c r="I75" s="21" t="s">
        <v>459</v>
      </c>
      <c r="J75" s="18" t="s">
        <v>266</v>
      </c>
    </row>
    <row r="76" spans="1:10" ht="28.05" customHeight="1" x14ac:dyDescent="0.3">
      <c r="A76" s="15">
        <v>75</v>
      </c>
      <c r="B76" s="15" t="s">
        <v>267</v>
      </c>
      <c r="C76" s="15" t="s">
        <v>83</v>
      </c>
      <c r="D76" s="16" t="s">
        <v>92</v>
      </c>
      <c r="E76" s="17" t="s">
        <v>268</v>
      </c>
      <c r="F76" s="19" t="s">
        <v>70</v>
      </c>
      <c r="G76" s="19"/>
      <c r="H76" s="20"/>
      <c r="I76" s="21" t="s">
        <v>460</v>
      </c>
      <c r="J76" s="18" t="s">
        <v>86</v>
      </c>
    </row>
    <row r="77" spans="1:10" ht="28.05" customHeight="1" x14ac:dyDescent="0.3">
      <c r="A77" s="15">
        <v>76</v>
      </c>
      <c r="B77" s="15" t="s">
        <v>269</v>
      </c>
      <c r="C77" s="15" t="s">
        <v>83</v>
      </c>
      <c r="D77" s="16" t="s">
        <v>88</v>
      </c>
      <c r="E77" s="17" t="s">
        <v>270</v>
      </c>
      <c r="F77" s="19" t="s">
        <v>31</v>
      </c>
      <c r="G77" s="19" t="s">
        <v>401</v>
      </c>
      <c r="H77" s="20" t="s">
        <v>397</v>
      </c>
      <c r="I77" s="21" t="s">
        <v>461</v>
      </c>
      <c r="J77" s="18" t="s">
        <v>86</v>
      </c>
    </row>
    <row r="78" spans="1:10" ht="28.05" customHeight="1" x14ac:dyDescent="0.3">
      <c r="A78" s="15">
        <v>77</v>
      </c>
      <c r="B78" s="15" t="s">
        <v>271</v>
      </c>
      <c r="C78" s="15" t="s">
        <v>145</v>
      </c>
      <c r="D78" s="16" t="s">
        <v>88</v>
      </c>
      <c r="E78" s="17" t="s">
        <v>272</v>
      </c>
      <c r="F78" s="19" t="s">
        <v>28</v>
      </c>
      <c r="G78" s="19" t="s">
        <v>401</v>
      </c>
      <c r="H78" s="20"/>
      <c r="I78" s="21" t="s">
        <v>439</v>
      </c>
      <c r="J78" s="18" t="s">
        <v>147</v>
      </c>
    </row>
    <row r="79" spans="1:10" ht="28.05" customHeight="1" x14ac:dyDescent="0.3">
      <c r="A79" s="15">
        <v>78</v>
      </c>
      <c r="B79" s="15" t="s">
        <v>273</v>
      </c>
      <c r="C79" s="15" t="s">
        <v>83</v>
      </c>
      <c r="D79" s="16" t="s">
        <v>171</v>
      </c>
      <c r="E79" s="17" t="s">
        <v>274</v>
      </c>
      <c r="F79" s="19" t="s">
        <v>28</v>
      </c>
      <c r="G79" s="19" t="s">
        <v>401</v>
      </c>
      <c r="H79" s="20"/>
      <c r="I79" s="21" t="s">
        <v>462</v>
      </c>
      <c r="J79" s="18" t="s">
        <v>86</v>
      </c>
    </row>
    <row r="80" spans="1:10" ht="28.05" customHeight="1" x14ac:dyDescent="0.3">
      <c r="A80" s="15">
        <v>79</v>
      </c>
      <c r="B80" s="15" t="s">
        <v>275</v>
      </c>
      <c r="C80" s="15" t="s">
        <v>83</v>
      </c>
      <c r="D80" s="16" t="s">
        <v>99</v>
      </c>
      <c r="E80" s="17" t="s">
        <v>276</v>
      </c>
      <c r="F80" s="19" t="s">
        <v>34</v>
      </c>
      <c r="G80" s="19" t="s">
        <v>408</v>
      </c>
      <c r="H80" s="20" t="s">
        <v>397</v>
      </c>
      <c r="I80" s="21" t="s">
        <v>463</v>
      </c>
      <c r="J80" s="18" t="s">
        <v>86</v>
      </c>
    </row>
    <row r="81" spans="1:10" ht="28.05" customHeight="1" x14ac:dyDescent="0.3">
      <c r="A81" s="15">
        <v>80</v>
      </c>
      <c r="B81" s="15" t="s">
        <v>277</v>
      </c>
      <c r="C81" s="15" t="s">
        <v>83</v>
      </c>
      <c r="D81" s="16" t="s">
        <v>171</v>
      </c>
      <c r="E81" s="17" t="s">
        <v>278</v>
      </c>
      <c r="F81" s="19" t="s">
        <v>28</v>
      </c>
      <c r="G81" s="19" t="s">
        <v>401</v>
      </c>
      <c r="H81" s="20" t="s">
        <v>397</v>
      </c>
      <c r="I81" s="21" t="s">
        <v>464</v>
      </c>
      <c r="J81" s="18" t="s">
        <v>86</v>
      </c>
    </row>
    <row r="82" spans="1:10" ht="28.05" customHeight="1" x14ac:dyDescent="0.3">
      <c r="A82" s="15">
        <v>81</v>
      </c>
      <c r="B82" s="15" t="s">
        <v>279</v>
      </c>
      <c r="C82" s="15" t="s">
        <v>83</v>
      </c>
      <c r="D82" s="16" t="s">
        <v>88</v>
      </c>
      <c r="E82" s="17" t="s">
        <v>280</v>
      </c>
      <c r="F82" s="19" t="s">
        <v>34</v>
      </c>
      <c r="G82" s="19" t="s">
        <v>408</v>
      </c>
      <c r="H82" s="20"/>
      <c r="I82" s="21" t="s">
        <v>465</v>
      </c>
      <c r="J82" s="18" t="s">
        <v>86</v>
      </c>
    </row>
    <row r="83" spans="1:10" ht="28.05" customHeight="1" x14ac:dyDescent="0.3">
      <c r="A83" s="15">
        <v>82</v>
      </c>
      <c r="B83" s="15" t="s">
        <v>281</v>
      </c>
      <c r="C83" s="15" t="s">
        <v>83</v>
      </c>
      <c r="D83" s="16" t="s">
        <v>88</v>
      </c>
      <c r="E83" s="17" t="s">
        <v>153</v>
      </c>
      <c r="F83" s="19" t="s">
        <v>70</v>
      </c>
      <c r="G83" s="19"/>
      <c r="H83" s="20" t="s">
        <v>397</v>
      </c>
      <c r="I83" s="21" t="s">
        <v>414</v>
      </c>
      <c r="J83" s="18" t="s">
        <v>86</v>
      </c>
    </row>
    <row r="84" spans="1:10" ht="28.05" customHeight="1" x14ac:dyDescent="0.3">
      <c r="A84" s="15">
        <v>83</v>
      </c>
      <c r="B84" s="15" t="s">
        <v>282</v>
      </c>
      <c r="C84" s="15" t="s">
        <v>83</v>
      </c>
      <c r="D84" s="16" t="s">
        <v>88</v>
      </c>
      <c r="E84" s="17" t="s">
        <v>283</v>
      </c>
      <c r="F84" s="19" t="s">
        <v>70</v>
      </c>
      <c r="G84" s="19"/>
      <c r="H84" s="20" t="s">
        <v>397</v>
      </c>
      <c r="I84" s="21" t="s">
        <v>466</v>
      </c>
      <c r="J84" s="18" t="s">
        <v>86</v>
      </c>
    </row>
    <row r="85" spans="1:10" ht="28.05" customHeight="1" x14ac:dyDescent="0.3">
      <c r="A85" s="15">
        <v>84</v>
      </c>
      <c r="B85" s="15" t="s">
        <v>284</v>
      </c>
      <c r="C85" s="15" t="s">
        <v>91</v>
      </c>
      <c r="D85" s="16" t="s">
        <v>99</v>
      </c>
      <c r="E85" s="17" t="s">
        <v>285</v>
      </c>
      <c r="F85" s="19" t="s">
        <v>70</v>
      </c>
      <c r="G85" s="19"/>
      <c r="H85" s="20"/>
      <c r="I85" s="21" t="s">
        <v>437</v>
      </c>
      <c r="J85" s="18" t="s">
        <v>94</v>
      </c>
    </row>
    <row r="86" spans="1:10" ht="28.05" customHeight="1" x14ac:dyDescent="0.3">
      <c r="A86" s="15">
        <v>85</v>
      </c>
      <c r="B86" s="15" t="s">
        <v>286</v>
      </c>
      <c r="C86" s="15" t="s">
        <v>83</v>
      </c>
      <c r="D86" s="16" t="s">
        <v>112</v>
      </c>
      <c r="E86" s="17" t="s">
        <v>287</v>
      </c>
      <c r="F86" s="19" t="s">
        <v>28</v>
      </c>
      <c r="G86" s="19" t="s">
        <v>401</v>
      </c>
      <c r="H86" s="20"/>
      <c r="I86" s="21" t="s">
        <v>467</v>
      </c>
      <c r="J86" s="18" t="s">
        <v>86</v>
      </c>
    </row>
    <row r="87" spans="1:10" ht="28.05" customHeight="1" x14ac:dyDescent="0.3">
      <c r="A87" s="15">
        <v>86</v>
      </c>
      <c r="B87" s="15" t="s">
        <v>288</v>
      </c>
      <c r="C87" s="15" t="s">
        <v>115</v>
      </c>
      <c r="D87" s="16" t="s">
        <v>171</v>
      </c>
      <c r="E87" s="17" t="s">
        <v>157</v>
      </c>
      <c r="F87" s="19" t="s">
        <v>70</v>
      </c>
      <c r="G87" s="19"/>
      <c r="H87" s="20"/>
      <c r="I87" s="21" t="s">
        <v>410</v>
      </c>
      <c r="J87" s="18" t="s">
        <v>117</v>
      </c>
    </row>
    <row r="88" spans="1:10" ht="28.05" customHeight="1" x14ac:dyDescent="0.3">
      <c r="A88" s="15">
        <v>87</v>
      </c>
      <c r="B88" s="15" t="s">
        <v>289</v>
      </c>
      <c r="C88" s="15" t="s">
        <v>83</v>
      </c>
      <c r="D88" s="16" t="s">
        <v>84</v>
      </c>
      <c r="E88" s="17" t="s">
        <v>290</v>
      </c>
      <c r="F88" s="19" t="s">
        <v>34</v>
      </c>
      <c r="G88" s="19" t="s">
        <v>408</v>
      </c>
      <c r="H88" s="20"/>
      <c r="I88" s="21" t="s">
        <v>468</v>
      </c>
      <c r="J88" s="18" t="s">
        <v>86</v>
      </c>
    </row>
    <row r="89" spans="1:10" ht="28.05" customHeight="1" x14ac:dyDescent="0.3">
      <c r="A89" s="15">
        <v>88</v>
      </c>
      <c r="B89" s="15" t="s">
        <v>106</v>
      </c>
      <c r="C89" s="15" t="s">
        <v>145</v>
      </c>
      <c r="D89" s="16" t="s">
        <v>99</v>
      </c>
      <c r="E89" s="17" t="s">
        <v>291</v>
      </c>
      <c r="F89" s="19" t="s">
        <v>28</v>
      </c>
      <c r="G89" s="19" t="s">
        <v>401</v>
      </c>
      <c r="H89" s="20"/>
      <c r="I89" s="21" t="s">
        <v>469</v>
      </c>
      <c r="J89" s="18" t="s">
        <v>147</v>
      </c>
    </row>
    <row r="90" spans="1:10" ht="28.05" customHeight="1" x14ac:dyDescent="0.3">
      <c r="A90" s="15">
        <v>89</v>
      </c>
      <c r="B90" s="15" t="s">
        <v>292</v>
      </c>
      <c r="C90" s="15" t="s">
        <v>163</v>
      </c>
      <c r="D90" s="16" t="s">
        <v>171</v>
      </c>
      <c r="E90" s="17" t="s">
        <v>293</v>
      </c>
      <c r="F90" s="19" t="s">
        <v>43</v>
      </c>
      <c r="G90" s="19" t="s">
        <v>401</v>
      </c>
      <c r="H90" s="20"/>
      <c r="I90" s="21" t="s">
        <v>470</v>
      </c>
      <c r="J90" s="18" t="s">
        <v>165</v>
      </c>
    </row>
    <row r="91" spans="1:10" ht="28.05" customHeight="1" x14ac:dyDescent="0.3">
      <c r="A91" s="15">
        <v>90</v>
      </c>
      <c r="B91" s="15" t="s">
        <v>294</v>
      </c>
      <c r="C91" s="15" t="s">
        <v>83</v>
      </c>
      <c r="D91" s="16" t="s">
        <v>99</v>
      </c>
      <c r="E91" s="17" t="s">
        <v>295</v>
      </c>
      <c r="F91" s="19" t="s">
        <v>70</v>
      </c>
      <c r="G91" s="19"/>
      <c r="H91" s="20" t="s">
        <v>397</v>
      </c>
      <c r="I91" s="21" t="s">
        <v>471</v>
      </c>
      <c r="J91" s="18" t="s">
        <v>86</v>
      </c>
    </row>
    <row r="92" spans="1:10" ht="28.05" customHeight="1" x14ac:dyDescent="0.3">
      <c r="A92" s="15">
        <v>91</v>
      </c>
      <c r="B92" s="15" t="s">
        <v>296</v>
      </c>
      <c r="C92" s="15" t="s">
        <v>83</v>
      </c>
      <c r="D92" s="16" t="s">
        <v>99</v>
      </c>
      <c r="E92" s="17" t="s">
        <v>297</v>
      </c>
      <c r="F92" s="19" t="s">
        <v>31</v>
      </c>
      <c r="G92" s="19" t="s">
        <v>401</v>
      </c>
      <c r="H92" s="20"/>
      <c r="I92" s="21" t="s">
        <v>472</v>
      </c>
      <c r="J92" s="18" t="s">
        <v>86</v>
      </c>
    </row>
    <row r="93" spans="1:10" ht="28.05" customHeight="1" x14ac:dyDescent="0.3">
      <c r="A93" s="15">
        <v>92</v>
      </c>
      <c r="B93" s="15" t="s">
        <v>298</v>
      </c>
      <c r="C93" s="15" t="s">
        <v>83</v>
      </c>
      <c r="D93" s="16" t="s">
        <v>171</v>
      </c>
      <c r="E93" s="17" t="s">
        <v>299</v>
      </c>
      <c r="F93" s="19" t="s">
        <v>28</v>
      </c>
      <c r="G93" s="19" t="s">
        <v>401</v>
      </c>
      <c r="H93" s="20"/>
      <c r="I93" s="21" t="s">
        <v>436</v>
      </c>
      <c r="J93" s="18" t="s">
        <v>86</v>
      </c>
    </row>
    <row r="94" spans="1:10" ht="28.05" customHeight="1" x14ac:dyDescent="0.3">
      <c r="A94" s="15">
        <v>93</v>
      </c>
      <c r="B94" s="15" t="s">
        <v>300</v>
      </c>
      <c r="C94" s="15" t="s">
        <v>103</v>
      </c>
      <c r="D94" s="16" t="s">
        <v>112</v>
      </c>
      <c r="E94" s="17" t="s">
        <v>301</v>
      </c>
      <c r="F94" s="19" t="s">
        <v>43</v>
      </c>
      <c r="G94" s="19" t="s">
        <v>404</v>
      </c>
      <c r="H94" s="20"/>
      <c r="I94" s="21" t="s">
        <v>426</v>
      </c>
      <c r="J94" s="18" t="s">
        <v>105</v>
      </c>
    </row>
    <row r="95" spans="1:10" ht="28.05" customHeight="1" x14ac:dyDescent="0.3">
      <c r="A95" s="15">
        <v>94</v>
      </c>
      <c r="B95" s="15" t="s">
        <v>220</v>
      </c>
      <c r="C95" s="15" t="s">
        <v>83</v>
      </c>
      <c r="D95" s="16" t="s">
        <v>88</v>
      </c>
      <c r="E95" s="17" t="s">
        <v>172</v>
      </c>
      <c r="F95" s="19" t="s">
        <v>70</v>
      </c>
      <c r="G95" s="19"/>
      <c r="H95" s="20" t="s">
        <v>397</v>
      </c>
      <c r="I95" s="21" t="s">
        <v>414</v>
      </c>
      <c r="J95" s="18" t="s">
        <v>86</v>
      </c>
    </row>
    <row r="96" spans="1:10" ht="28.05" customHeight="1" x14ac:dyDescent="0.3">
      <c r="A96" s="15">
        <v>95</v>
      </c>
      <c r="B96" s="15" t="s">
        <v>302</v>
      </c>
      <c r="C96" s="15" t="s">
        <v>83</v>
      </c>
      <c r="D96" s="16" t="s">
        <v>107</v>
      </c>
      <c r="E96" s="17" t="s">
        <v>303</v>
      </c>
      <c r="F96" s="19" t="s">
        <v>43</v>
      </c>
      <c r="G96" s="19" t="s">
        <v>401</v>
      </c>
      <c r="H96" s="20"/>
      <c r="I96" s="21" t="s">
        <v>473</v>
      </c>
      <c r="J96" s="18" t="s">
        <v>86</v>
      </c>
    </row>
    <row r="97" spans="1:10" ht="28.05" customHeight="1" x14ac:dyDescent="0.3">
      <c r="A97" s="15">
        <v>96</v>
      </c>
      <c r="B97" s="15" t="s">
        <v>304</v>
      </c>
      <c r="C97" s="15" t="s">
        <v>115</v>
      </c>
      <c r="D97" s="16" t="s">
        <v>171</v>
      </c>
      <c r="E97" s="17" t="s">
        <v>305</v>
      </c>
      <c r="F97" s="19" t="s">
        <v>70</v>
      </c>
      <c r="G97" s="19"/>
      <c r="H97" s="20" t="s">
        <v>397</v>
      </c>
      <c r="I97" s="21" t="s">
        <v>453</v>
      </c>
      <c r="J97" s="18" t="s">
        <v>117</v>
      </c>
    </row>
    <row r="98" spans="1:10" ht="28.05" customHeight="1" x14ac:dyDescent="0.3">
      <c r="A98" s="15">
        <v>97</v>
      </c>
      <c r="B98" s="15" t="s">
        <v>306</v>
      </c>
      <c r="C98" s="15" t="s">
        <v>83</v>
      </c>
      <c r="D98" s="16" t="s">
        <v>84</v>
      </c>
      <c r="E98" s="17" t="s">
        <v>307</v>
      </c>
      <c r="F98" s="19" t="s">
        <v>70</v>
      </c>
      <c r="G98" s="19"/>
      <c r="H98" s="20" t="s">
        <v>397</v>
      </c>
      <c r="I98" s="21" t="s">
        <v>474</v>
      </c>
      <c r="J98" s="18" t="s">
        <v>86</v>
      </c>
    </row>
    <row r="99" spans="1:10" ht="28.05" customHeight="1" x14ac:dyDescent="0.3">
      <c r="A99" s="15">
        <v>98</v>
      </c>
      <c r="B99" s="15" t="s">
        <v>308</v>
      </c>
      <c r="C99" s="15" t="s">
        <v>207</v>
      </c>
      <c r="D99" s="16" t="s">
        <v>112</v>
      </c>
      <c r="E99" s="17" t="s">
        <v>309</v>
      </c>
      <c r="F99" s="19" t="s">
        <v>70</v>
      </c>
      <c r="G99" s="19"/>
      <c r="H99" s="20"/>
      <c r="I99" s="21" t="s">
        <v>442</v>
      </c>
      <c r="J99" s="18" t="s">
        <v>209</v>
      </c>
    </row>
    <row r="100" spans="1:10" ht="28.05" customHeight="1" x14ac:dyDescent="0.3">
      <c r="A100" s="15">
        <v>99</v>
      </c>
      <c r="B100" s="15" t="s">
        <v>300</v>
      </c>
      <c r="C100" s="15" t="s">
        <v>310</v>
      </c>
      <c r="D100" s="16" t="s">
        <v>107</v>
      </c>
      <c r="E100" s="17" t="s">
        <v>311</v>
      </c>
      <c r="F100" s="19" t="s">
        <v>52</v>
      </c>
      <c r="G100" s="19" t="s">
        <v>401</v>
      </c>
      <c r="H100" s="20" t="s">
        <v>397</v>
      </c>
      <c r="I100" s="21" t="s">
        <v>475</v>
      </c>
      <c r="J100" s="18" t="s">
        <v>312</v>
      </c>
    </row>
    <row r="101" spans="1:10" ht="28.05" customHeight="1" x14ac:dyDescent="0.3">
      <c r="A101" s="15">
        <v>100</v>
      </c>
      <c r="B101" s="15" t="s">
        <v>313</v>
      </c>
      <c r="C101" s="15" t="s">
        <v>254</v>
      </c>
      <c r="D101" s="16" t="s">
        <v>107</v>
      </c>
      <c r="E101" s="17" t="s">
        <v>314</v>
      </c>
      <c r="F101" s="19" t="s">
        <v>43</v>
      </c>
      <c r="G101" s="19" t="s">
        <v>401</v>
      </c>
      <c r="H101" s="20"/>
      <c r="I101" s="21" t="s">
        <v>476</v>
      </c>
      <c r="J101" s="18" t="s">
        <v>256</v>
      </c>
    </row>
    <row r="102" spans="1:10" ht="28.05" customHeight="1" x14ac:dyDescent="0.3">
      <c r="A102" s="15">
        <v>101</v>
      </c>
      <c r="B102" s="15" t="s">
        <v>315</v>
      </c>
      <c r="C102" s="15" t="s">
        <v>145</v>
      </c>
      <c r="D102" s="16" t="s">
        <v>88</v>
      </c>
      <c r="E102" s="17" t="s">
        <v>316</v>
      </c>
      <c r="F102" s="19" t="s">
        <v>28</v>
      </c>
      <c r="G102" s="19" t="s">
        <v>401</v>
      </c>
      <c r="H102" s="20"/>
      <c r="I102" s="21" t="s">
        <v>439</v>
      </c>
      <c r="J102" s="18" t="s">
        <v>147</v>
      </c>
    </row>
    <row r="103" spans="1:10" ht="28.05" customHeight="1" x14ac:dyDescent="0.3">
      <c r="A103" s="15">
        <v>102</v>
      </c>
      <c r="B103" s="15" t="s">
        <v>317</v>
      </c>
      <c r="C103" s="15" t="s">
        <v>83</v>
      </c>
      <c r="D103" s="16" t="s">
        <v>92</v>
      </c>
      <c r="E103" s="17" t="s">
        <v>318</v>
      </c>
      <c r="F103" s="19" t="s">
        <v>46</v>
      </c>
      <c r="G103" s="19" t="s">
        <v>404</v>
      </c>
      <c r="H103" s="20"/>
      <c r="I103" s="21" t="s">
        <v>477</v>
      </c>
      <c r="J103" s="18" t="s">
        <v>86</v>
      </c>
    </row>
    <row r="104" spans="1:10" ht="28.05" customHeight="1" x14ac:dyDescent="0.3">
      <c r="A104" s="15">
        <v>103</v>
      </c>
      <c r="B104" s="15" t="s">
        <v>319</v>
      </c>
      <c r="C104" s="15" t="s">
        <v>83</v>
      </c>
      <c r="D104" s="16" t="s">
        <v>171</v>
      </c>
      <c r="E104" s="17" t="s">
        <v>320</v>
      </c>
      <c r="F104" s="19" t="s">
        <v>70</v>
      </c>
      <c r="G104" s="19"/>
      <c r="H104" s="20" t="s">
        <v>397</v>
      </c>
      <c r="I104" s="21" t="s">
        <v>478</v>
      </c>
      <c r="J104" s="18" t="s">
        <v>86</v>
      </c>
    </row>
    <row r="105" spans="1:10" ht="28.05" customHeight="1" x14ac:dyDescent="0.3">
      <c r="A105" s="15">
        <v>104</v>
      </c>
      <c r="B105" s="15" t="s">
        <v>321</v>
      </c>
      <c r="C105" s="15" t="s">
        <v>83</v>
      </c>
      <c r="D105" s="16" t="s">
        <v>88</v>
      </c>
      <c r="E105" s="17" t="s">
        <v>322</v>
      </c>
      <c r="F105" s="19" t="s">
        <v>40</v>
      </c>
      <c r="G105" s="19" t="s">
        <v>401</v>
      </c>
      <c r="H105" s="20" t="s">
        <v>397</v>
      </c>
      <c r="I105" s="21" t="s">
        <v>479</v>
      </c>
      <c r="J105" s="18" t="s">
        <v>86</v>
      </c>
    </row>
    <row r="106" spans="1:10" ht="28.05" customHeight="1" x14ac:dyDescent="0.3">
      <c r="A106" s="15">
        <v>105</v>
      </c>
      <c r="B106" s="15" t="s">
        <v>144</v>
      </c>
      <c r="C106" s="15" t="s">
        <v>145</v>
      </c>
      <c r="D106" s="16" t="s">
        <v>88</v>
      </c>
      <c r="E106" s="17" t="s">
        <v>146</v>
      </c>
      <c r="F106" s="19" t="s">
        <v>28</v>
      </c>
      <c r="G106" s="19" t="s">
        <v>401</v>
      </c>
      <c r="H106" s="20"/>
      <c r="I106" s="21" t="s">
        <v>439</v>
      </c>
      <c r="J106" s="18" t="s">
        <v>147</v>
      </c>
    </row>
    <row r="107" spans="1:10" ht="28.05" customHeight="1" x14ac:dyDescent="0.3">
      <c r="A107" s="15">
        <v>106</v>
      </c>
      <c r="B107" s="15" t="s">
        <v>323</v>
      </c>
      <c r="C107" s="15" t="s">
        <v>83</v>
      </c>
      <c r="D107" s="16" t="s">
        <v>171</v>
      </c>
      <c r="E107" s="17" t="s">
        <v>324</v>
      </c>
      <c r="F107" s="19" t="s">
        <v>70</v>
      </c>
      <c r="G107" s="19"/>
      <c r="H107" s="20"/>
      <c r="I107" s="21" t="s">
        <v>480</v>
      </c>
      <c r="J107" s="18" t="s">
        <v>86</v>
      </c>
    </row>
    <row r="108" spans="1:10" ht="28.05" customHeight="1" x14ac:dyDescent="0.3">
      <c r="A108" s="15">
        <v>107</v>
      </c>
      <c r="B108" s="15" t="s">
        <v>325</v>
      </c>
      <c r="C108" s="15" t="s">
        <v>163</v>
      </c>
      <c r="D108" s="16" t="s">
        <v>112</v>
      </c>
      <c r="E108" s="17" t="s">
        <v>326</v>
      </c>
      <c r="F108" s="19" t="s">
        <v>70</v>
      </c>
      <c r="G108" s="19"/>
      <c r="H108" s="20"/>
      <c r="I108" s="21" t="s">
        <v>481</v>
      </c>
      <c r="J108" s="18" t="s">
        <v>165</v>
      </c>
    </row>
    <row r="109" spans="1:10" ht="28.05" customHeight="1" x14ac:dyDescent="0.3">
      <c r="A109" s="15">
        <v>108</v>
      </c>
      <c r="B109" s="15" t="s">
        <v>327</v>
      </c>
      <c r="C109" s="15" t="s">
        <v>83</v>
      </c>
      <c r="D109" s="16" t="s">
        <v>171</v>
      </c>
      <c r="E109" s="17" t="s">
        <v>328</v>
      </c>
      <c r="F109" s="19" t="s">
        <v>31</v>
      </c>
      <c r="G109" s="19" t="s">
        <v>401</v>
      </c>
      <c r="H109" s="20"/>
      <c r="I109" s="21" t="s">
        <v>482</v>
      </c>
      <c r="J109" s="18" t="s">
        <v>86</v>
      </c>
    </row>
    <row r="110" spans="1:10" ht="28.05" customHeight="1" x14ac:dyDescent="0.3">
      <c r="A110" s="15">
        <v>109</v>
      </c>
      <c r="B110" s="15" t="s">
        <v>329</v>
      </c>
      <c r="C110" s="15" t="s">
        <v>131</v>
      </c>
      <c r="D110" s="16" t="s">
        <v>92</v>
      </c>
      <c r="E110" s="17" t="s">
        <v>330</v>
      </c>
      <c r="F110" s="19" t="s">
        <v>70</v>
      </c>
      <c r="G110" s="19"/>
      <c r="H110" s="20"/>
      <c r="I110" s="21" t="s">
        <v>483</v>
      </c>
      <c r="J110" s="18" t="s">
        <v>133</v>
      </c>
    </row>
    <row r="111" spans="1:10" ht="28.05" customHeight="1" x14ac:dyDescent="0.3">
      <c r="A111" s="15">
        <v>110</v>
      </c>
      <c r="B111" s="15" t="s">
        <v>331</v>
      </c>
      <c r="C111" s="15" t="s">
        <v>83</v>
      </c>
      <c r="D111" s="16" t="s">
        <v>92</v>
      </c>
      <c r="E111" s="17" t="s">
        <v>332</v>
      </c>
      <c r="F111" s="19" t="s">
        <v>70</v>
      </c>
      <c r="G111" s="19"/>
      <c r="H111" s="20" t="s">
        <v>397</v>
      </c>
      <c r="I111" s="21" t="s">
        <v>414</v>
      </c>
      <c r="J111" s="18" t="s">
        <v>86</v>
      </c>
    </row>
    <row r="112" spans="1:10" ht="28.05" customHeight="1" x14ac:dyDescent="0.3">
      <c r="A112" s="15">
        <v>111</v>
      </c>
      <c r="B112" s="15" t="s">
        <v>333</v>
      </c>
      <c r="C112" s="15" t="s">
        <v>334</v>
      </c>
      <c r="D112" s="16" t="s">
        <v>92</v>
      </c>
      <c r="E112" s="17" t="s">
        <v>335</v>
      </c>
      <c r="F112" s="19" t="s">
        <v>70</v>
      </c>
      <c r="G112" s="19"/>
      <c r="H112" s="20" t="s">
        <v>397</v>
      </c>
      <c r="I112" s="21" t="s">
        <v>484</v>
      </c>
      <c r="J112" s="18" t="s">
        <v>336</v>
      </c>
    </row>
    <row r="113" spans="1:10" ht="28.05" customHeight="1" x14ac:dyDescent="0.3">
      <c r="A113" s="15">
        <v>112</v>
      </c>
      <c r="B113" s="15" t="s">
        <v>337</v>
      </c>
      <c r="C113" s="15" t="s">
        <v>145</v>
      </c>
      <c r="D113" s="16" t="s">
        <v>107</v>
      </c>
      <c r="E113" s="17" t="s">
        <v>338</v>
      </c>
      <c r="F113" s="19" t="s">
        <v>28</v>
      </c>
      <c r="G113" s="19" t="s">
        <v>401</v>
      </c>
      <c r="H113" s="20"/>
      <c r="I113" s="21" t="s">
        <v>439</v>
      </c>
      <c r="J113" s="18" t="s">
        <v>147</v>
      </c>
    </row>
    <row r="114" spans="1:10" ht="28.05" customHeight="1" x14ac:dyDescent="0.3">
      <c r="A114" s="15">
        <v>113</v>
      </c>
      <c r="B114" s="15" t="s">
        <v>339</v>
      </c>
      <c r="C114" s="15" t="s">
        <v>83</v>
      </c>
      <c r="D114" s="16" t="s">
        <v>112</v>
      </c>
      <c r="E114" s="17" t="s">
        <v>340</v>
      </c>
      <c r="F114" s="19" t="s">
        <v>70</v>
      </c>
      <c r="G114" s="19"/>
      <c r="H114" s="20"/>
      <c r="I114" s="21" t="s">
        <v>485</v>
      </c>
      <c r="J114" s="18" t="s">
        <v>86</v>
      </c>
    </row>
    <row r="115" spans="1:10" ht="28.05" customHeight="1" x14ac:dyDescent="0.3">
      <c r="A115" s="15">
        <v>114</v>
      </c>
      <c r="B115" s="15" t="s">
        <v>341</v>
      </c>
      <c r="C115" s="15" t="s">
        <v>83</v>
      </c>
      <c r="D115" s="16" t="s">
        <v>84</v>
      </c>
      <c r="E115" s="17" t="s">
        <v>342</v>
      </c>
      <c r="F115" s="19" t="s">
        <v>43</v>
      </c>
      <c r="G115" s="19" t="s">
        <v>401</v>
      </c>
      <c r="H115" s="20"/>
      <c r="I115" s="21" t="s">
        <v>486</v>
      </c>
      <c r="J115" s="18" t="s">
        <v>86</v>
      </c>
    </row>
    <row r="116" spans="1:10" ht="28.05" customHeight="1" x14ac:dyDescent="0.3">
      <c r="A116" s="15">
        <v>115</v>
      </c>
      <c r="B116" s="15" t="s">
        <v>343</v>
      </c>
      <c r="C116" s="15" t="s">
        <v>145</v>
      </c>
      <c r="D116" s="16" t="s">
        <v>112</v>
      </c>
      <c r="E116" s="17" t="s">
        <v>344</v>
      </c>
      <c r="F116" s="19" t="s">
        <v>28</v>
      </c>
      <c r="G116" s="19" t="s">
        <v>401</v>
      </c>
      <c r="H116" s="20"/>
      <c r="I116" s="21" t="s">
        <v>439</v>
      </c>
      <c r="J116" s="18" t="s">
        <v>147</v>
      </c>
    </row>
    <row r="117" spans="1:10" ht="28.05" customHeight="1" x14ac:dyDescent="0.3">
      <c r="A117" s="15">
        <v>116</v>
      </c>
      <c r="B117" s="15" t="s">
        <v>345</v>
      </c>
      <c r="C117" s="15" t="s">
        <v>83</v>
      </c>
      <c r="D117" s="16" t="s">
        <v>92</v>
      </c>
      <c r="E117" s="17" t="s">
        <v>346</v>
      </c>
      <c r="F117" s="19" t="s">
        <v>43</v>
      </c>
      <c r="G117" s="19" t="s">
        <v>404</v>
      </c>
      <c r="H117" s="20" t="s">
        <v>397</v>
      </c>
      <c r="I117" s="21" t="s">
        <v>487</v>
      </c>
      <c r="J117" s="18" t="s">
        <v>86</v>
      </c>
    </row>
    <row r="118" spans="1:10" ht="28.05" customHeight="1" x14ac:dyDescent="0.3">
      <c r="A118" s="15">
        <v>117</v>
      </c>
      <c r="B118" s="15" t="s">
        <v>259</v>
      </c>
      <c r="C118" s="15" t="s">
        <v>83</v>
      </c>
      <c r="D118" s="16" t="s">
        <v>92</v>
      </c>
      <c r="E118" s="17" t="s">
        <v>347</v>
      </c>
      <c r="F118" s="19" t="s">
        <v>70</v>
      </c>
      <c r="G118" s="19"/>
      <c r="H118" s="20"/>
      <c r="I118" s="21" t="s">
        <v>488</v>
      </c>
      <c r="J118" s="18" t="s">
        <v>86</v>
      </c>
    </row>
    <row r="119" spans="1:10" ht="28.05" customHeight="1" x14ac:dyDescent="0.3">
      <c r="A119" s="15">
        <v>118</v>
      </c>
      <c r="B119" s="15" t="s">
        <v>348</v>
      </c>
      <c r="C119" s="15" t="s">
        <v>254</v>
      </c>
      <c r="D119" s="16" t="s">
        <v>171</v>
      </c>
      <c r="E119" s="17" t="s">
        <v>349</v>
      </c>
      <c r="F119" s="19" t="s">
        <v>43</v>
      </c>
      <c r="G119" s="19" t="s">
        <v>404</v>
      </c>
      <c r="H119" s="20"/>
      <c r="I119" s="21" t="s">
        <v>489</v>
      </c>
      <c r="J119" s="18" t="s">
        <v>256</v>
      </c>
    </row>
    <row r="120" spans="1:10" ht="28.05" customHeight="1" x14ac:dyDescent="0.3">
      <c r="A120" s="15">
        <v>119</v>
      </c>
      <c r="B120" s="15" t="s">
        <v>350</v>
      </c>
      <c r="C120" s="15" t="s">
        <v>254</v>
      </c>
      <c r="D120" s="16" t="s">
        <v>92</v>
      </c>
      <c r="E120" s="17" t="s">
        <v>351</v>
      </c>
      <c r="F120" s="19" t="s">
        <v>43</v>
      </c>
      <c r="G120" s="19" t="s">
        <v>404</v>
      </c>
      <c r="H120" s="20"/>
      <c r="I120" s="21" t="s">
        <v>490</v>
      </c>
      <c r="J120" s="18" t="s">
        <v>256</v>
      </c>
    </row>
    <row r="121" spans="1:10" ht="28.05" customHeight="1" x14ac:dyDescent="0.3">
      <c r="A121" s="15">
        <v>120</v>
      </c>
      <c r="B121" s="15" t="s">
        <v>352</v>
      </c>
      <c r="C121" s="15" t="s">
        <v>264</v>
      </c>
      <c r="D121" s="16" t="s">
        <v>112</v>
      </c>
      <c r="E121" s="17" t="s">
        <v>353</v>
      </c>
      <c r="F121" s="19" t="s">
        <v>70</v>
      </c>
      <c r="G121" s="19"/>
      <c r="H121" s="20"/>
      <c r="I121" s="21" t="s">
        <v>491</v>
      </c>
      <c r="J121" s="18" t="s">
        <v>266</v>
      </c>
    </row>
    <row r="122" spans="1:10" ht="28.05" customHeight="1" x14ac:dyDescent="0.3">
      <c r="A122" s="15">
        <v>121</v>
      </c>
      <c r="B122" s="15" t="s">
        <v>354</v>
      </c>
      <c r="C122" s="15" t="s">
        <v>83</v>
      </c>
      <c r="D122" s="16" t="s">
        <v>171</v>
      </c>
      <c r="E122" s="17" t="s">
        <v>355</v>
      </c>
      <c r="F122" s="19" t="s">
        <v>28</v>
      </c>
      <c r="G122" s="19" t="s">
        <v>401</v>
      </c>
      <c r="H122" s="20" t="s">
        <v>397</v>
      </c>
      <c r="I122" s="21" t="s">
        <v>492</v>
      </c>
      <c r="J122" s="18" t="s">
        <v>86</v>
      </c>
    </row>
    <row r="123" spans="1:10" ht="28.05" customHeight="1" x14ac:dyDescent="0.3">
      <c r="A123" s="15">
        <v>122</v>
      </c>
      <c r="B123" s="15" t="s">
        <v>356</v>
      </c>
      <c r="C123" s="15" t="s">
        <v>83</v>
      </c>
      <c r="D123" s="16" t="s">
        <v>112</v>
      </c>
      <c r="E123" s="17" t="s">
        <v>357</v>
      </c>
      <c r="F123" s="19" t="s">
        <v>28</v>
      </c>
      <c r="G123" s="19" t="s">
        <v>401</v>
      </c>
      <c r="H123" s="20"/>
      <c r="I123" s="21" t="s">
        <v>493</v>
      </c>
      <c r="J123" s="18" t="s">
        <v>86</v>
      </c>
    </row>
    <row r="124" spans="1:10" ht="28.05" customHeight="1" x14ac:dyDescent="0.3">
      <c r="A124" s="15">
        <v>123</v>
      </c>
      <c r="B124" s="15" t="s">
        <v>358</v>
      </c>
      <c r="C124" s="15" t="s">
        <v>83</v>
      </c>
      <c r="D124" s="16" t="s">
        <v>112</v>
      </c>
      <c r="E124" s="17" t="s">
        <v>359</v>
      </c>
      <c r="F124" s="19" t="s">
        <v>70</v>
      </c>
      <c r="G124" s="19"/>
      <c r="H124" s="20" t="s">
        <v>397</v>
      </c>
      <c r="I124" s="21" t="s">
        <v>494</v>
      </c>
      <c r="J124" s="18" t="s">
        <v>86</v>
      </c>
    </row>
    <row r="125" spans="1:10" ht="28.05" customHeight="1" x14ac:dyDescent="0.3">
      <c r="A125" s="15">
        <v>124</v>
      </c>
      <c r="B125" s="15" t="s">
        <v>360</v>
      </c>
      <c r="C125" s="15" t="s">
        <v>83</v>
      </c>
      <c r="D125" s="16" t="s">
        <v>88</v>
      </c>
      <c r="E125" s="17" t="s">
        <v>361</v>
      </c>
      <c r="F125" s="19" t="s">
        <v>31</v>
      </c>
      <c r="G125" s="19" t="s">
        <v>401</v>
      </c>
      <c r="H125" s="20"/>
      <c r="I125" s="21" t="s">
        <v>495</v>
      </c>
      <c r="J125" s="18" t="s">
        <v>86</v>
      </c>
    </row>
    <row r="126" spans="1:10" ht="28.05" customHeight="1" x14ac:dyDescent="0.3">
      <c r="A126" s="15">
        <v>125</v>
      </c>
      <c r="B126" s="15" t="s">
        <v>362</v>
      </c>
      <c r="C126" s="15" t="s">
        <v>83</v>
      </c>
      <c r="D126" s="16" t="s">
        <v>171</v>
      </c>
      <c r="E126" s="17" t="s">
        <v>363</v>
      </c>
      <c r="F126" s="19" t="s">
        <v>49</v>
      </c>
      <c r="G126" s="19" t="s">
        <v>401</v>
      </c>
      <c r="H126" s="20"/>
      <c r="I126" s="21" t="s">
        <v>496</v>
      </c>
      <c r="J126" s="18" t="s">
        <v>86</v>
      </c>
    </row>
    <row r="127" spans="1:10" ht="28.05" customHeight="1" x14ac:dyDescent="0.3">
      <c r="A127" s="15">
        <v>126</v>
      </c>
      <c r="B127" s="15" t="s">
        <v>364</v>
      </c>
      <c r="C127" s="15" t="s">
        <v>83</v>
      </c>
      <c r="D127" s="16" t="s">
        <v>112</v>
      </c>
      <c r="E127" s="17" t="s">
        <v>365</v>
      </c>
      <c r="F127" s="19" t="s">
        <v>28</v>
      </c>
      <c r="G127" s="19" t="s">
        <v>401</v>
      </c>
      <c r="H127" s="20"/>
      <c r="I127" s="21" t="s">
        <v>467</v>
      </c>
      <c r="J127" s="18" t="s">
        <v>86</v>
      </c>
    </row>
    <row r="128" spans="1:10" ht="28.05" customHeight="1" x14ac:dyDescent="0.3">
      <c r="A128" s="15">
        <v>127</v>
      </c>
      <c r="B128" s="15" t="s">
        <v>366</v>
      </c>
      <c r="C128" s="15" t="s">
        <v>131</v>
      </c>
      <c r="D128" s="16" t="s">
        <v>171</v>
      </c>
      <c r="E128" s="17" t="s">
        <v>367</v>
      </c>
      <c r="F128" s="19" t="s">
        <v>70</v>
      </c>
      <c r="G128" s="19"/>
      <c r="H128" s="20"/>
      <c r="I128" s="21" t="s">
        <v>497</v>
      </c>
      <c r="J128" s="18" t="s">
        <v>133</v>
      </c>
    </row>
    <row r="129" spans="1:10" ht="28.05" customHeight="1" x14ac:dyDescent="0.3">
      <c r="A129" s="15">
        <v>128</v>
      </c>
      <c r="B129" s="15" t="s">
        <v>368</v>
      </c>
      <c r="C129" s="15" t="s">
        <v>369</v>
      </c>
      <c r="D129" s="16" t="s">
        <v>107</v>
      </c>
      <c r="E129" s="17" t="s">
        <v>370</v>
      </c>
      <c r="F129" s="19" t="s">
        <v>49</v>
      </c>
      <c r="G129" s="19" t="s">
        <v>401</v>
      </c>
      <c r="H129" s="20"/>
      <c r="I129" s="21" t="s">
        <v>498</v>
      </c>
      <c r="J129" s="18" t="s">
        <v>371</v>
      </c>
    </row>
    <row r="130" spans="1:10" ht="28.05" customHeight="1" x14ac:dyDescent="0.3">
      <c r="A130" s="15">
        <v>129</v>
      </c>
      <c r="B130" s="15" t="s">
        <v>372</v>
      </c>
      <c r="C130" s="15" t="s">
        <v>83</v>
      </c>
      <c r="D130" s="16" t="s">
        <v>107</v>
      </c>
      <c r="E130" s="17" t="s">
        <v>373</v>
      </c>
      <c r="F130" s="19" t="s">
        <v>70</v>
      </c>
      <c r="G130" s="19"/>
      <c r="H130" s="20"/>
      <c r="I130" s="21" t="s">
        <v>423</v>
      </c>
      <c r="J130" s="18" t="s">
        <v>86</v>
      </c>
    </row>
    <row r="131" spans="1:10" ht="28.05" customHeight="1" x14ac:dyDescent="0.3">
      <c r="A131" s="15">
        <v>130</v>
      </c>
      <c r="B131" s="15" t="s">
        <v>374</v>
      </c>
      <c r="C131" s="15" t="s">
        <v>83</v>
      </c>
      <c r="D131" s="16" t="s">
        <v>99</v>
      </c>
      <c r="E131" s="17" t="s">
        <v>375</v>
      </c>
      <c r="F131" s="19" t="s">
        <v>31</v>
      </c>
      <c r="G131" s="19" t="s">
        <v>404</v>
      </c>
      <c r="H131" s="20" t="s">
        <v>397</v>
      </c>
      <c r="I131" s="21" t="s">
        <v>499</v>
      </c>
      <c r="J131" s="18" t="s">
        <v>86</v>
      </c>
    </row>
    <row r="132" spans="1:10" ht="28.05" customHeight="1" x14ac:dyDescent="0.3">
      <c r="A132" s="15">
        <v>131</v>
      </c>
      <c r="B132" s="15" t="s">
        <v>376</v>
      </c>
      <c r="C132" s="15" t="s">
        <v>377</v>
      </c>
      <c r="D132" s="16" t="s">
        <v>107</v>
      </c>
      <c r="E132" s="17" t="s">
        <v>378</v>
      </c>
      <c r="F132" s="19" t="s">
        <v>43</v>
      </c>
      <c r="G132" s="19" t="s">
        <v>401</v>
      </c>
      <c r="H132" s="20"/>
      <c r="I132" s="21" t="s">
        <v>500</v>
      </c>
      <c r="J132" s="18" t="s">
        <v>379</v>
      </c>
    </row>
    <row r="133" spans="1:10" ht="28.05" customHeight="1" x14ac:dyDescent="0.3">
      <c r="A133" s="15">
        <v>132</v>
      </c>
      <c r="B133" s="15" t="s">
        <v>380</v>
      </c>
      <c r="C133" s="15" t="s">
        <v>83</v>
      </c>
      <c r="D133" s="16" t="s">
        <v>92</v>
      </c>
      <c r="E133" s="17" t="s">
        <v>381</v>
      </c>
      <c r="F133" s="19" t="s">
        <v>46</v>
      </c>
      <c r="G133" s="19" t="s">
        <v>404</v>
      </c>
      <c r="H133" s="20"/>
      <c r="I133" s="21" t="s">
        <v>501</v>
      </c>
      <c r="J133" s="18" t="s">
        <v>86</v>
      </c>
    </row>
    <row r="134" spans="1:10" ht="28.05" customHeight="1" x14ac:dyDescent="0.3">
      <c r="A134" s="15">
        <v>133</v>
      </c>
      <c r="B134" s="15" t="s">
        <v>382</v>
      </c>
      <c r="C134" s="15" t="s">
        <v>103</v>
      </c>
      <c r="D134" s="16" t="s">
        <v>84</v>
      </c>
      <c r="E134" s="17" t="s">
        <v>383</v>
      </c>
      <c r="F134" s="19" t="s">
        <v>43</v>
      </c>
      <c r="G134" s="19" t="s">
        <v>404</v>
      </c>
      <c r="H134" s="20"/>
      <c r="I134" s="21" t="s">
        <v>426</v>
      </c>
      <c r="J134" s="18" t="s">
        <v>105</v>
      </c>
    </row>
    <row r="135" spans="1:10" ht="28.05" customHeight="1" x14ac:dyDescent="0.3">
      <c r="A135" s="15">
        <v>134</v>
      </c>
      <c r="B135" s="15" t="s">
        <v>128</v>
      </c>
      <c r="C135" s="15" t="s">
        <v>83</v>
      </c>
      <c r="D135" s="16" t="s">
        <v>84</v>
      </c>
      <c r="E135" s="17" t="s">
        <v>384</v>
      </c>
      <c r="F135" s="19" t="s">
        <v>43</v>
      </c>
      <c r="G135" s="19" t="s">
        <v>401</v>
      </c>
      <c r="H135" s="20"/>
      <c r="I135" s="21" t="s">
        <v>502</v>
      </c>
      <c r="J135" s="18" t="s">
        <v>86</v>
      </c>
    </row>
    <row r="136" spans="1:10" ht="28.05" customHeight="1" x14ac:dyDescent="0.3">
      <c r="A136" s="15">
        <v>135</v>
      </c>
      <c r="B136" s="15" t="s">
        <v>385</v>
      </c>
      <c r="C136" s="15" t="s">
        <v>83</v>
      </c>
      <c r="D136" s="16" t="s">
        <v>92</v>
      </c>
      <c r="E136" s="17" t="s">
        <v>386</v>
      </c>
      <c r="F136" s="19" t="s">
        <v>70</v>
      </c>
      <c r="G136" s="19"/>
      <c r="H136" s="20"/>
      <c r="I136" s="21" t="s">
        <v>503</v>
      </c>
      <c r="J136" s="18" t="s">
        <v>86</v>
      </c>
    </row>
    <row r="137" spans="1:10" ht="28.05" customHeight="1" x14ac:dyDescent="0.3">
      <c r="A137" s="15">
        <v>136</v>
      </c>
      <c r="B137" s="15" t="s">
        <v>387</v>
      </c>
      <c r="C137" s="15" t="s">
        <v>163</v>
      </c>
      <c r="D137" s="16" t="s">
        <v>107</v>
      </c>
      <c r="E137" s="17" t="s">
        <v>388</v>
      </c>
      <c r="F137" s="19" t="s">
        <v>70</v>
      </c>
      <c r="G137" s="19"/>
      <c r="H137" s="20" t="s">
        <v>397</v>
      </c>
      <c r="I137" s="21" t="s">
        <v>504</v>
      </c>
      <c r="J137" s="18" t="s">
        <v>165</v>
      </c>
    </row>
    <row r="138" spans="1:10" ht="28.05" customHeight="1" x14ac:dyDescent="0.3">
      <c r="A138" s="15">
        <v>137</v>
      </c>
      <c r="B138" s="15" t="s">
        <v>389</v>
      </c>
      <c r="C138" s="15" t="s">
        <v>131</v>
      </c>
      <c r="D138" s="16" t="s">
        <v>107</v>
      </c>
      <c r="E138" s="17" t="s">
        <v>390</v>
      </c>
      <c r="F138" s="19" t="s">
        <v>28</v>
      </c>
      <c r="G138" s="19" t="s">
        <v>401</v>
      </c>
      <c r="H138" s="20"/>
      <c r="I138" s="21" t="s">
        <v>505</v>
      </c>
      <c r="J138" s="18" t="s">
        <v>133</v>
      </c>
    </row>
    <row r="139" spans="1:10" ht="28.05" customHeight="1" x14ac:dyDescent="0.3">
      <c r="A139" s="15">
        <v>138</v>
      </c>
      <c r="B139" s="15" t="s">
        <v>391</v>
      </c>
      <c r="C139" s="15" t="s">
        <v>131</v>
      </c>
      <c r="D139" s="16" t="s">
        <v>92</v>
      </c>
      <c r="E139" s="17" t="s">
        <v>392</v>
      </c>
      <c r="F139" s="19" t="s">
        <v>70</v>
      </c>
      <c r="G139" s="19"/>
      <c r="H139" s="20" t="s">
        <v>397</v>
      </c>
      <c r="I139" s="21" t="s">
        <v>506</v>
      </c>
      <c r="J139" s="18" t="s">
        <v>133</v>
      </c>
    </row>
    <row r="140" spans="1:10" ht="28.05" customHeight="1" x14ac:dyDescent="0.3">
      <c r="A140" s="15">
        <v>139</v>
      </c>
      <c r="B140" s="15" t="s">
        <v>393</v>
      </c>
      <c r="C140" s="15" t="s">
        <v>91</v>
      </c>
      <c r="D140" s="16" t="s">
        <v>92</v>
      </c>
      <c r="E140" s="17" t="s">
        <v>394</v>
      </c>
      <c r="F140" s="19" t="s">
        <v>43</v>
      </c>
      <c r="G140" s="19" t="s">
        <v>401</v>
      </c>
      <c r="H140" s="20"/>
      <c r="I140" s="21" t="s">
        <v>507</v>
      </c>
      <c r="J140" s="18" t="s">
        <v>94</v>
      </c>
    </row>
    <row r="141" spans="1:10" ht="28.05" customHeight="1" x14ac:dyDescent="0.3">
      <c r="A141" s="15">
        <v>140</v>
      </c>
      <c r="B141" s="15" t="s">
        <v>395</v>
      </c>
      <c r="C141" s="15" t="s">
        <v>83</v>
      </c>
      <c r="D141" s="16" t="s">
        <v>171</v>
      </c>
      <c r="E141" s="17" t="s">
        <v>396</v>
      </c>
      <c r="F141" s="19" t="s">
        <v>70</v>
      </c>
      <c r="G141" s="19"/>
      <c r="H141" s="20"/>
      <c r="I141" s="21" t="s">
        <v>508</v>
      </c>
      <c r="J141" s="18" t="s">
        <v>86</v>
      </c>
    </row>
  </sheetData>
  <autoFilter ref="A1:J141" xr:uid="{00000000-0009-0000-0000-000002000000}"/>
  <dataValidations count="2">
    <dataValidation type="list" allowBlank="1" errorTitle="Polaridad no valida" error="Solo positivo, negativo o neutral. Vacia si la categoria es Z." sqref="G2:G141" xr:uid="{00000000-0002-0000-0200-000001000000}">
      <formula1>"positivo,negativo,neutral"</formula1>
    </dataValidation>
    <dataValidation type="list" allowBlank="1" sqref="H2:H141" xr:uid="{00000000-0002-0000-0200-000002000000}">
      <formula1>"x"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ategoria no valida" error="Elija una categoria del desplegable (hoja Taxonomia)." xr:uid="{00000000-0002-0000-0200-000000000000}">
          <x14:formula1>
            <xm:f>Taxonomia!$A$2:$A$16</xm:f>
          </x14:formula1>
          <xm:sqref>F2:F141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C54C-AA82-47FF-B317-C534ADC72440}">
  <dimension ref="B4:C13"/>
  <sheetViews>
    <sheetView tabSelected="1" workbookViewId="0">
      <selection activeCell="D4" sqref="D4"/>
    </sheetView>
  </sheetViews>
  <sheetFormatPr baseColWidth="10" defaultRowHeight="14.4" x14ac:dyDescent="0.3"/>
  <sheetData>
    <row r="4" spans="2:3" ht="244.8" x14ac:dyDescent="0.3">
      <c r="B4" s="23" t="s">
        <v>509</v>
      </c>
      <c r="C4" s="22" t="s">
        <v>510</v>
      </c>
    </row>
    <row r="5" spans="2:3" ht="331.2" x14ac:dyDescent="0.3">
      <c r="B5" s="23" t="s">
        <v>511</v>
      </c>
      <c r="C5" s="22" t="s">
        <v>512</v>
      </c>
    </row>
    <row r="6" spans="2:3" ht="409.6" x14ac:dyDescent="0.3">
      <c r="B6" s="23" t="s">
        <v>513</v>
      </c>
      <c r="C6" s="22" t="s">
        <v>514</v>
      </c>
    </row>
    <row r="7" spans="2:3" ht="360" x14ac:dyDescent="0.3">
      <c r="B7" s="23" t="s">
        <v>515</v>
      </c>
      <c r="C7" s="22" t="s">
        <v>516</v>
      </c>
    </row>
    <row r="8" spans="2:3" ht="403.2" x14ac:dyDescent="0.3">
      <c r="B8" s="23" t="s">
        <v>517</v>
      </c>
      <c r="C8" s="22" t="s">
        <v>518</v>
      </c>
    </row>
    <row r="9" spans="2:3" ht="288" x14ac:dyDescent="0.3">
      <c r="B9" s="23" t="s">
        <v>519</v>
      </c>
      <c r="C9" s="22" t="s">
        <v>520</v>
      </c>
    </row>
    <row r="10" spans="2:3" ht="409.6" x14ac:dyDescent="0.3">
      <c r="B10" s="23" t="s">
        <v>521</v>
      </c>
      <c r="C10" s="22" t="s">
        <v>522</v>
      </c>
    </row>
    <row r="11" spans="2:3" ht="201.6" x14ac:dyDescent="0.3">
      <c r="B11" s="23" t="s">
        <v>523</v>
      </c>
      <c r="C11" s="22" t="s">
        <v>524</v>
      </c>
    </row>
    <row r="12" spans="2:3" x14ac:dyDescent="0.3">
      <c r="B12" s="23"/>
      <c r="C12" s="22"/>
    </row>
    <row r="13" spans="2:3" ht="230.4" x14ac:dyDescent="0.3">
      <c r="B13" s="23" t="s">
        <v>525</v>
      </c>
      <c r="C13" s="22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Taxonomia</vt:lpstr>
      <vt:lpstr>Anotacion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2026-08-30T04:18:15Z</dcterms:created>
  <dcterms:modified xsi:type="dcterms:W3CDTF">2026-09-01T01:21:27Z</dcterms:modified>
</cp:coreProperties>
</file>