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2" autoFilterDateGrouping="1"/>
  </bookViews>
  <sheets>
    <sheet xmlns:r="http://schemas.openxmlformats.org/officeDocument/2006/relationships" name="Instrucciones" sheetId="1" state="visible" r:id="rId1"/>
    <sheet xmlns:r="http://schemas.openxmlformats.org/officeDocument/2006/relationships" name="Taxonomia" sheetId="2" state="visible" r:id="rId2"/>
    <sheet xmlns:r="http://schemas.openxmlformats.org/officeDocument/2006/relationships" name="Anotacion" sheetId="3" state="visible" r:id="rId3"/>
  </sheets>
  <definedNames>
    <definedName name="_xlnm._FilterDatabase" localSheetId="2" hidden="1">'Anotacion'!$A$1:$J$551</definedName>
  </definedNames>
  <calcPr calcId="191029" fullCalcOnLoad="1" iterateDelta="0.000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FF1F3864"/>
      <sz val="15"/>
    </font>
    <font>
      <name val="Arial"/>
      <sz val="10"/>
    </font>
    <font>
      <name val="Arial"/>
      <b val="1"/>
      <color rgb="FF1F3864"/>
      <sz val="11"/>
    </font>
    <font>
      <name val="Arial"/>
      <b val="1"/>
      <sz val="10"/>
    </font>
    <font>
      <name val="Arial"/>
      <b val="1"/>
      <color rgb="FFFFFFFF"/>
      <sz val="10"/>
    </font>
    <font>
      <name val="Arial"/>
      <i val="1"/>
      <sz val="10"/>
    </font>
    <font>
      <name val="Arial"/>
      <color rgb="FF808080"/>
      <sz val="8"/>
    </font>
    <font>
      <name val="Arial"/>
      <charset val="1"/>
      <sz val="10"/>
    </font>
  </fonts>
  <fills count="5">
    <fill>
      <patternFill/>
    </fill>
    <fill>
      <patternFill patternType="gray125"/>
    </fill>
    <fill>
      <patternFill patternType="solid">
        <fgColor rgb="FF1F3864"/>
      </patternFill>
    </fill>
    <fill>
      <patternFill patternType="solid">
        <fgColor rgb="FFF2F2F2"/>
      </patternFill>
    </fill>
    <fill>
      <patternFill patternType="solid">
        <fgColor rgb="FFFFF2CC"/>
        <bgColor rgb="FFF2F2F2"/>
      </patternFill>
    </fill>
  </fills>
  <borders count="2">
    <border>
      <left/>
      <right/>
      <top/>
      <bottom/>
      <diagonal/>
    </border>
    <border>
      <left/>
      <right/>
      <top/>
      <bottom style="thin">
        <color rgb="FFD9D9D9"/>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2" fillId="0" borderId="0" pivotButton="0" quotePrefix="0" xfId="0"/>
    <xf numFmtId="0" fontId="4" fillId="0" borderId="0" pivotButton="0" quotePrefix="0" xfId="0"/>
    <xf numFmtId="164" fontId="4" fillId="0" borderId="0" pivotButton="0" quotePrefix="0" xfId="0"/>
    <xf numFmtId="0" fontId="5" fillId="2" borderId="0" pivotButton="0" quotePrefix="0" xfId="0"/>
    <xf numFmtId="0" fontId="6" fillId="0" borderId="0" pivotButton="0" quotePrefix="0" xfId="0"/>
    <xf numFmtId="165" fontId="2" fillId="0" borderId="0" pivotButton="0" quotePrefix="0" xfId="0"/>
    <xf numFmtId="0" fontId="4" fillId="3" borderId="0" pivotButton="0" quotePrefix="0" xfId="0"/>
    <xf numFmtId="165" fontId="2" fillId="3" borderId="0" pivotButton="0" quotePrefix="0" xfId="0"/>
    <xf numFmtId="0" fontId="2" fillId="3" borderId="0" pivotButton="0" quotePrefix="0" xfId="0"/>
    <xf numFmtId="0" fontId="2" fillId="3" borderId="0" applyAlignment="1" pivotButton="0" quotePrefix="0" xfId="0">
      <alignment vertical="top" wrapText="1"/>
    </xf>
    <xf numFmtId="0" fontId="5" fillId="2" borderId="0"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left" vertical="center" wrapText="1"/>
    </xf>
    <xf numFmtId="0" fontId="7" fillId="0" borderId="1" applyAlignment="1" pivotButton="0" quotePrefix="0" xfId="0">
      <alignment horizontal="left" vertical="center"/>
    </xf>
    <xf numFmtId="0" fontId="8" fillId="4" borderId="1" applyAlignment="1" pivotButton="0" quotePrefix="0" xfId="0">
      <alignment horizontal="left" vertical="center"/>
    </xf>
    <xf numFmtId="0" fontId="8" fillId="4" borderId="1"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showGridLines="0" topLeftCell="A4" zoomScale="111" workbookViewId="0">
      <selection activeCell="B8" sqref="B8"/>
    </sheetView>
  </sheetViews>
  <sheetFormatPr baseColWidth="10" defaultColWidth="8.88671875" defaultRowHeight="14.4"/>
  <cols>
    <col width="4" customWidth="1" min="1" max="1"/>
    <col width="108" customWidth="1" min="2" max="2"/>
    <col width="14" customWidth="1" min="3" max="3"/>
  </cols>
  <sheetData>
    <row r="1" ht="19.2" customHeight="1">
      <c r="B1" s="1" t="inlineStr">
        <is>
          <t>Anotacion humana de referencia — R5 (sentimiento)</t>
        </is>
      </c>
    </row>
    <row r="2"/>
    <row r="3" ht="45" customHeight="1">
      <c r="B3" s="2" t="inlineStr">
        <is>
          <t>Este archivo construye la REFERENCIA con la que se va a medir a los modelos de lenguaje de R5. Hasta ahora la referencia la habia producido el asistente, no una persona, asi que la comparacion de modelos ordenaba pero no media.</t>
        </is>
      </c>
    </row>
    <row r="4"/>
    <row r="5">
      <c r="B5" s="3" t="inlineStr">
        <is>
          <t>REGLA DE ORO — juzgar SOLO por el titular</t>
        </is>
      </c>
    </row>
    <row r="6" ht="60" customHeight="1">
      <c r="B6" s="2" t="inlineStr">
        <is>
          <t>El modelo ve unicamente el titular (MediaCloud no devuelve el cuerpo de la nota). Si usted abre el enlace y decide con informacion que el modelo nunca tuvo, la referencia mide algo inalcanzable y el modelo sale injustamente mal. Use el titular. La columna 'url' esta al final solo para casos genuinamente ambiguos: si la consulta, escriba 'x' en 'duda' y digalo en 'nota'.</t>
        </is>
      </c>
    </row>
    <row r="7"/>
    <row r="8">
      <c r="B8" s="3" t="inlineStr">
        <is>
          <t>QUE se llena (dos columnas amarillas)</t>
        </is>
      </c>
    </row>
    <row r="9" ht="30" customHeight="1">
      <c r="B9" s="2" t="inlineStr">
        <is>
          <t>1) categoria — SIEMPRE. Elija del desplegable la que mejor describa el evento para LA EMPRESA de esa fila. Es la taxonomia de la hoja 'Taxonomia'.</t>
        </is>
      </c>
    </row>
    <row r="10" ht="30" customHeight="1">
      <c r="B10" s="2" t="inlineStr">
        <is>
          <t>2) polaridad — SOLO si la categoria NO empieza con Z. Las Z son de magnitud cero (o sea, irrelevantes) y no llevan polaridad: dejela vacia.</t>
        </is>
      </c>
    </row>
    <row r="11" ht="30" customHeight="1">
      <c r="B11" s="2" t="inlineStr">
        <is>
          <t>La relevancia NO se pregunta aparte. La taxonomia la define: relevante = categoria A, B o C. Irrelevante = categoria Z. Por eso hay una columna menos.</t>
        </is>
      </c>
    </row>
    <row r="12"/>
    <row r="13">
      <c r="B13" s="3" t="inlineStr">
        <is>
          <t>COMO decidir la polaridad</t>
        </is>
      </c>
    </row>
    <row r="14" ht="45" customHeight="1">
      <c r="B14" s="2" t="inlineStr">
        <is>
          <t>Polaridad = efecto esperado sobre el valor o las perspectivas de la empresa, NO el tono del titular. 'Utilidad cae 20%' es negativo aunque este redactado de forma neutra. Si el evento importa pero su signo no se puede saber por el titular (p. ej. cambio de CEO sin mas contexto), marque 'neutral'.</t>
        </is>
      </c>
    </row>
    <row r="15"/>
    <row r="16">
      <c r="B16" s="3" t="inlineStr">
        <is>
          <t>PUEDE PARAR CUANDO QUIERA</t>
        </is>
      </c>
    </row>
    <row r="17" ht="60" customHeight="1">
      <c r="B17" s="2" t="inlineStr">
        <is>
          <t>Las filas estan en orden ALEATORIO a proposito, asi que cualquier prefijo es una muestra valida. Si llega a la fila 300 y se cansa, guarde y avise: se analiza con 300 y no se pierde nada. Lo que NO se puede hacer es saltear filas del medio ni ORDENAR o FILTRAR la hoja de forma permanente: el orden es la clave que empareja cada fila con su articulo.</t>
        </is>
      </c>
    </row>
    <row r="18"/>
    <row r="19">
      <c r="B19" s="3" t="inlineStr">
        <is>
          <t>OTRAS COLUMNAS</t>
        </is>
      </c>
    </row>
    <row r="20" ht="30" customHeight="1">
      <c r="B20" s="2" t="inlineStr">
        <is>
          <t>duda — escriba 'x' si dudo o si abrio el enlace. Sirve para medir en que casos el titular solo no alcanza, que es un resultado reportable por si mismo.</t>
        </is>
      </c>
    </row>
    <row r="21" ht="30" customHeight="1">
      <c r="B21" s="2" t="inlineStr">
        <is>
          <t>nota — texto libre, opcional. Util cuando ninguna categoria calza: eso es evidencia de que la taxonomia necesita un arreglo.</t>
        </is>
      </c>
    </row>
    <row r="22"/>
    <row r="23">
      <c r="B23" s="3" t="inlineStr">
        <is>
          <t>AL TERMINAR</t>
        </is>
      </c>
    </row>
    <row r="24" ht="15" customHeight="1">
      <c r="B24" s="2" t="inlineStr">
        <is>
          <t>Guarde el archivo con el mismo nombre y avise. No hace falta nada mas.</t>
        </is>
      </c>
    </row>
    <row r="25"/>
    <row r="26">
      <c r="B26" s="3" t="inlineStr">
        <is>
          <t>PROGRESO</t>
        </is>
      </c>
    </row>
    <row r="27">
      <c r="B27" s="4" t="inlineStr">
        <is>
          <t>Filas en total</t>
        </is>
      </c>
      <c r="C27" s="5" t="n">
        <v>550</v>
      </c>
    </row>
    <row r="28">
      <c r="B28" s="4" t="inlineStr">
        <is>
          <t>Anotadas (categoria llena)</t>
        </is>
      </c>
      <c r="C28" s="5">
        <f>COUNTA(Anotacion!$F$2:$F$551)</f>
        <v/>
      </c>
    </row>
    <row r="29">
      <c r="B29" s="4" t="inlineStr">
        <is>
          <t>Avance</t>
        </is>
      </c>
      <c r="C29" s="6">
        <f>C28/C27</f>
        <v/>
      </c>
    </row>
    <row r="30">
      <c r="B30" s="4" t="inlineStr">
        <is>
          <t>Relevantes hasta ahora (A/B/C)</t>
        </is>
      </c>
      <c r="C30" s="5">
        <f>COUNTA(Anotacion!$F$2:$F$551)-COUNTIF(Anotacion!$F$2:$F$551,"Z_*")</f>
        <v/>
      </c>
    </row>
    <row r="31">
      <c r="B31" s="4" t="inlineStr">
        <is>
          <t>Marcadas con duda</t>
        </is>
      </c>
      <c r="C31" s="5">
        <f>COUNTIF(Anotacion!$H$2:$H$551,"x")</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showGridLines="0" zoomScale="115" workbookViewId="0">
      <pane ySplit="1" topLeftCell="A2" activePane="bottomLeft" state="frozen"/>
      <selection pane="bottomLeft" activeCell="D9" sqref="D9"/>
    </sheetView>
  </sheetViews>
  <sheetFormatPr baseColWidth="10" defaultColWidth="8.88671875" defaultRowHeight="14.4"/>
  <cols>
    <col width="26" customWidth="1" min="1" max="1"/>
    <col width="10" customWidth="1" min="2" max="2"/>
    <col width="24" customWidth="1" min="3" max="3"/>
    <col width="78" customWidth="1" min="4" max="4"/>
  </cols>
  <sheetData>
    <row r="1">
      <c r="A1" s="7" t="inlineStr">
        <is>
          <t>codigo</t>
        </is>
      </c>
      <c r="B1" s="7" t="inlineStr">
        <is>
          <t>magnitud</t>
        </is>
      </c>
      <c r="C1" s="7" t="inlineStr">
        <is>
          <t>nombre_taxonomia</t>
        </is>
      </c>
      <c r="D1" s="7" t="inlineStr">
        <is>
          <t>definicion</t>
        </is>
      </c>
      <c r="F1" s="8" t="inlineStr">
        <is>
          <t>Las filas grises son de magnitud CERO: son la abstencion (irrelevante).</t>
        </is>
      </c>
    </row>
    <row r="2">
      <c r="A2" s="5" t="inlineStr">
        <is>
          <t>A_resultados</t>
        </is>
      </c>
      <c r="B2" s="9" t="n">
        <v>1</v>
      </c>
      <c r="C2" s="4" t="inlineStr">
        <is>
          <t>resultados</t>
        </is>
      </c>
      <c r="D2" s="2" t="inlineStr">
        <is>
          <t>utilidad, ingresos, ventas, márgenes, estados financieros, balance</t>
        </is>
      </c>
    </row>
    <row r="3">
      <c r="A3" s="5" t="inlineStr">
        <is>
          <t>A_ma_reestructuracion</t>
        </is>
      </c>
      <c r="B3" s="9" t="n">
        <v>1</v>
      </c>
      <c r="C3" s="4" t="inlineStr">
        <is>
          <t>ma_reestructuracion</t>
        </is>
      </c>
      <c r="D3" s="2" t="inlineStr">
        <is>
          <t>compra o venta de empresas, fusión, adquisición, escisión</t>
        </is>
      </c>
    </row>
    <row r="4">
      <c r="A4" s="5" t="inlineStr">
        <is>
          <t>A_crisis_evento_adverso</t>
        </is>
      </c>
      <c r="B4" s="9" t="n">
        <v>1</v>
      </c>
      <c r="C4" s="4" t="inlineStr">
        <is>
          <t>crisis_evento_adverso</t>
        </is>
      </c>
      <c r="D4" s="2" t="inlineStr">
        <is>
          <t>accidente, derrame, fraude, investigación, sanción, huelga, conflicto</t>
        </is>
      </c>
    </row>
    <row r="5">
      <c r="A5" s="5" t="inlineStr">
        <is>
          <t>A_regulatorio_material</t>
        </is>
      </c>
      <c r="B5" s="9" t="n">
        <v>1</v>
      </c>
      <c r="C5" s="4" t="inlineStr">
        <is>
          <t>regulatorio_material</t>
        </is>
      </c>
      <c r="D5" s="2" t="inlineStr">
        <is>
          <t>norma, tarifa, arancel, antidumping o fallo que afecta al negocio</t>
        </is>
      </c>
    </row>
    <row r="6">
      <c r="A6" s="5" t="inlineStr">
        <is>
          <t>B_estrategia_inversion</t>
        </is>
      </c>
      <c r="B6" s="9" t="n">
        <v>0.6</v>
      </c>
      <c r="C6" s="4" t="inlineStr">
        <is>
          <t>estrategia_inversion</t>
        </is>
      </c>
      <c r="D6" s="2" t="inlineStr">
        <is>
          <t>inversión, nueva planta, tienda o mina, expansión, entrada a un mercado</t>
        </is>
      </c>
    </row>
    <row r="7">
      <c r="A7" s="5" t="inlineStr">
        <is>
          <t>B_dividendo_capital</t>
        </is>
      </c>
      <c r="B7" s="9" t="n">
        <v>0.6</v>
      </c>
      <c r="C7" s="4" t="inlineStr">
        <is>
          <t>dividendo_capital</t>
        </is>
      </c>
      <c r="D7" s="2" t="inlineStr">
        <is>
          <t>dividendo, recompra, emisión de acciones o bonos, deuda, financiamiento</t>
        </is>
      </c>
    </row>
    <row r="8">
      <c r="A8" s="5" t="inlineStr">
        <is>
          <t>B_operacional</t>
        </is>
      </c>
      <c r="B8" s="9" t="n">
        <v>0.6</v>
      </c>
      <c r="C8" s="4" t="inlineStr">
        <is>
          <t>operacional</t>
        </is>
      </c>
      <c r="D8" s="2" t="inlineStr">
        <is>
          <t>producción, volúmenes, despachos, contratos ganados, operación diaria</t>
        </is>
      </c>
    </row>
    <row r="9">
      <c r="A9" s="5" t="inlineStr">
        <is>
          <t>B_gobierno_corporativo</t>
        </is>
      </c>
      <c r="B9" s="9" t="n">
        <v>0.6</v>
      </c>
      <c r="C9" s="4" t="inlineStr">
        <is>
          <t>gobierno_corporativo</t>
        </is>
      </c>
      <c r="D9" s="2" t="inlineStr">
        <is>
          <t>cambio de gerente general, directorio, renuncia o nombramiento</t>
        </is>
      </c>
    </row>
    <row r="10">
      <c r="A10" s="5" t="inlineStr">
        <is>
          <t>C_analisis_opinion</t>
        </is>
      </c>
      <c r="B10" s="9" t="n">
        <v>0.3</v>
      </c>
      <c r="C10" s="4" t="inlineStr">
        <is>
          <t>analisis_opinion</t>
        </is>
      </c>
      <c r="D10" s="2" t="inlineStr">
        <is>
          <t>recomendación de analista, precio objetivo, calificación de riesgo</t>
        </is>
      </c>
    </row>
    <row r="11" ht="26.4" customHeight="1">
      <c r="A11" s="10" t="inlineStr">
        <is>
          <t>Z_sector_macro</t>
        </is>
      </c>
      <c r="B11" s="11" t="n">
        <v>0</v>
      </c>
      <c r="C11" s="12" t="inlineStr">
        <is>
          <t>sector_macro</t>
        </is>
      </c>
      <c r="D11" s="13" t="inlineStr">
        <is>
          <t>habla del sector o del precio del metal/insumo SIN mencionar un hecho concreto de la empresa</t>
        </is>
      </c>
    </row>
    <row r="12">
      <c r="A12" s="10" t="inlineStr">
        <is>
          <t>Z_indice_bursatil</t>
        </is>
      </c>
      <c r="B12" s="11" t="n">
        <v>0</v>
      </c>
      <c r="C12" s="12" t="inlineStr">
        <is>
          <t>indice_bursatil</t>
        </is>
      </c>
      <c r="D12" s="13" t="inlineStr">
        <is>
          <t>crónica de la sesión de la BVL, índices, lista de ganadores y perdedores</t>
        </is>
      </c>
    </row>
    <row r="13">
      <c r="A13" s="10" t="inlineStr">
        <is>
          <t>Z_patrocinio_rse</t>
        </is>
      </c>
      <c r="B13" s="11" t="n">
        <v>0</v>
      </c>
      <c r="C13" s="12" t="inlineStr">
        <is>
          <t>patrocinio_rse</t>
        </is>
      </c>
      <c r="D13" s="13" t="inlineStr">
        <is>
          <t>auspicio, donación, responsabilidad social, deporte, evento benéfico</t>
        </is>
      </c>
    </row>
    <row r="14">
      <c r="A14" s="10" t="inlineStr">
        <is>
          <t>Z_marketing_promocion</t>
        </is>
      </c>
      <c r="B14" s="11" t="n">
        <v>0</v>
      </c>
      <c r="C14" s="12" t="inlineStr">
        <is>
          <t>marketing_promocion</t>
        </is>
      </c>
      <c r="D14" s="13" t="inlineStr">
        <is>
          <t>oferta, promoción, lanzamiento de producto, apertura de local</t>
        </is>
      </c>
    </row>
    <row r="15" ht="26.4" customHeight="1">
      <c r="A15" s="10" t="inlineStr">
        <is>
          <t>Z_mencion_incidental</t>
        </is>
      </c>
      <c r="B15" s="11" t="n">
        <v>0</v>
      </c>
      <c r="C15" s="12" t="inlineStr">
        <is>
          <t>mencion_incidental</t>
        </is>
      </c>
      <c r="D15" s="13" t="inlineStr">
        <is>
          <t>la empresa aparece solo como dato, fuente o ejemplo, y la noticia trata de otro tema (tipo de cambio, política, otra empresa)</t>
        </is>
      </c>
    </row>
    <row r="16">
      <c r="A16" s="10" t="inlineStr">
        <is>
          <t>Z_no_relevante</t>
        </is>
      </c>
      <c r="B16" s="11" t="n">
        <v>0</v>
      </c>
      <c r="C16" s="12" t="inlineStr">
        <is>
          <t>no_relevante</t>
        </is>
      </c>
      <c r="D16" s="13" t="inlineStr">
        <is>
          <t>el titular no trata de esta empresa en absoluto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51"/>
  <sheetViews>
    <sheetView tabSelected="1" zoomScale="102" workbookViewId="0">
      <pane xSplit="5" ySplit="1" topLeftCell="F539" activePane="bottomRight" state="frozen"/>
      <selection pane="topRight" activeCell="A1" sqref="A1"/>
      <selection pane="bottomLeft" activeCell="A1" sqref="A1"/>
      <selection pane="bottomRight" activeCell="F551" sqref="F551"/>
    </sheetView>
  </sheetViews>
  <sheetFormatPr baseColWidth="10" defaultColWidth="8.88671875" defaultRowHeight="14.4"/>
  <cols>
    <col width="6" customWidth="1" min="1" max="1"/>
    <col width="11" customWidth="1" min="2" max="2"/>
    <col width="16" customWidth="1" min="3" max="3"/>
    <col width="30" customWidth="1" min="4" max="4"/>
    <col width="92" customWidth="1" min="5" max="5"/>
    <col width="26" customWidth="1" min="6" max="6"/>
    <col width="12" customWidth="1" min="7" max="7"/>
    <col width="7" customWidth="1" min="8" max="8"/>
    <col width="34" customWidth="1" min="9" max="9"/>
    <col width="55" customWidth="1" min="10" max="10"/>
  </cols>
  <sheetData>
    <row r="1" ht="22.05" customHeight="1">
      <c r="A1" s="14" t="inlineStr">
        <is>
          <t>n</t>
        </is>
      </c>
      <c r="B1" s="14" t="inlineStr">
        <is>
          <t>fecha</t>
        </is>
      </c>
      <c r="C1" s="14" t="inlineStr">
        <is>
          <t>medio</t>
        </is>
      </c>
      <c r="D1" s="14" t="inlineStr">
        <is>
          <t>empresa</t>
        </is>
      </c>
      <c r="E1" s="14" t="inlineStr">
        <is>
          <t>titular</t>
        </is>
      </c>
      <c r="F1" s="14" t="inlineStr">
        <is>
          <t>categoria</t>
        </is>
      </c>
      <c r="G1" s="14" t="inlineStr">
        <is>
          <t>polaridad</t>
        </is>
      </c>
      <c r="H1" s="14" t="inlineStr">
        <is>
          <t>duda</t>
        </is>
      </c>
      <c r="I1" s="14" t="inlineStr">
        <is>
          <t>nota</t>
        </is>
      </c>
      <c r="J1" s="14" t="inlineStr">
        <is>
          <t>url</t>
        </is>
      </c>
    </row>
    <row r="2" ht="28.05" customHeight="1">
      <c r="A2" s="15" t="n">
        <v>1</v>
      </c>
      <c r="B2" s="15" t="inlineStr">
        <is>
          <t>2022-11-17</t>
        </is>
      </c>
      <c r="C2" s="16" t="inlineStr">
        <is>
          <t>gestion.pe</t>
        </is>
      </c>
      <c r="D2" s="16" t="inlineStr">
        <is>
          <t>Alicorp</t>
        </is>
      </c>
      <c r="E2" s="17" t="inlineStr">
        <is>
          <t>Gratificación | cuentas CTS | depósito a plazo fijo | Las opciones de inversión y las rentabilidades que ofrecen | dinero | TU-DINERO</t>
        </is>
      </c>
      <c r="F2" s="19" t="inlineStr">
        <is>
          <t>Z_no_relevante</t>
        </is>
      </c>
      <c r="G2" s="19" t="n"/>
      <c r="H2" s="20" t="n"/>
      <c r="I2" s="19" t="n"/>
      <c r="J2" s="18" t="inlineStr">
        <is>
          <t>https://gestion.pe/tu-dinero/gratificacion-cuentas-cts-deposito-a-plazo-fijo-las-opciones-de-inversion-y-las-rentabilidades-que-ofrecen-dinero-noticia/</t>
        </is>
      </c>
    </row>
    <row r="3" ht="28.05" customHeight="1">
      <c r="A3" s="15" t="n">
        <v>2</v>
      </c>
      <c r="B3" s="15" t="inlineStr">
        <is>
          <t>2015-05-15</t>
        </is>
      </c>
      <c r="C3" s="16" t="inlineStr">
        <is>
          <t>larepublica.pe</t>
        </is>
      </c>
      <c r="D3" s="16" t="inlineStr">
        <is>
          <t>Minsur</t>
        </is>
      </c>
      <c r="E3" s="17" t="inlineStr">
        <is>
          <t>Tacna recibiría S/. 230 mlls. por canon minero este año</t>
        </is>
      </c>
      <c r="F3" s="19" t="inlineStr">
        <is>
          <t>Z_sector_macro</t>
        </is>
      </c>
      <c r="G3" s="19" t="n"/>
      <c r="H3" s="20" t="inlineStr">
        <is>
          <t>x</t>
        </is>
      </c>
      <c r="I3" s="19" t="inlineStr">
        <is>
          <t>Canon minero a Tacna: entorno fiscal del sector, Minsur no es sujeto del hecho. Caso levantado por el usuario.</t>
        </is>
      </c>
      <c r="J3" s="18" t="inlineStr">
        <is>
          <t>http://www.larepublica.pe/impresa/sociedad/436-tacna-recibiria-s-230-mlls-por-canon-minero-este-ano</t>
        </is>
      </c>
    </row>
    <row r="4" ht="28.05" customHeight="1">
      <c r="A4" s="15" t="n">
        <v>3</v>
      </c>
      <c r="B4" s="15" t="inlineStr">
        <is>
          <t>2017-04-27</t>
        </is>
      </c>
      <c r="C4" s="16" t="inlineStr">
        <is>
          <t>gestion.pe</t>
        </is>
      </c>
      <c r="D4" s="16" t="inlineStr">
        <is>
          <t>Alicorp</t>
        </is>
      </c>
      <c r="E4" s="17" t="inlineStr">
        <is>
          <t>S mantuvo calificación 'BBB-' de Alicorp por estos motivos</t>
        </is>
      </c>
      <c r="F4" s="19" t="inlineStr">
        <is>
          <t>C_analisis_opinion</t>
        </is>
      </c>
      <c r="G4" s="19" t="inlineStr">
        <is>
          <t>neutral</t>
        </is>
      </c>
      <c r="H4" s="20" t="n"/>
      <c r="I4" s="19" t="inlineStr">
        <is>
          <t>S&amp;P mantiene BBB-: sin cambio de calificacion.</t>
        </is>
      </c>
      <c r="J4" s="18" t="inlineStr">
        <is>
          <t>http://gestion.pe/empresas/sp-mantuvo-calificacion-bbb-alicorp-estos-motivos-2188442</t>
        </is>
      </c>
    </row>
    <row r="5" ht="28.05" customHeight="1">
      <c r="A5" s="15" t="n">
        <v>4</v>
      </c>
      <c r="B5" s="15" t="inlineStr">
        <is>
          <t>2021-02-22</t>
        </is>
      </c>
      <c r="C5" s="16" t="inlineStr">
        <is>
          <t>elcomercio.pe</t>
        </is>
      </c>
      <c r="D5" s="16" t="inlineStr">
        <is>
          <t>Cementos Pacasmayo</t>
        </is>
      </c>
      <c r="E5" s="17" t="inlineStr">
        <is>
          <t>COVID-19 Perú: reportan 166 muertes y 3.448 contagios en las últimas 24 horas</t>
        </is>
      </c>
      <c r="F5" s="19" t="inlineStr">
        <is>
          <t>Z_no_relevante</t>
        </is>
      </c>
      <c r="G5" s="19" t="n"/>
      <c r="H5" s="20" t="n"/>
      <c r="I5" s="19" t="n"/>
      <c r="J5" s="18" t="inlineStr">
        <is>
          <t>https://elcomercio.pe/lima/sucesos/covid-19-peru-reportan-166-muertes-y-3448-contagios-en-las-ultimas-24-horas-segunda-ola-ministerio-de-salud-nndc-noticia/</t>
        </is>
      </c>
    </row>
    <row r="6" ht="28.05" customHeight="1">
      <c r="A6" s="15" t="n">
        <v>5</v>
      </c>
      <c r="B6" s="15" t="inlineStr">
        <is>
          <t>2020-04-13</t>
        </is>
      </c>
      <c r="C6" s="16" t="inlineStr">
        <is>
          <t>elcomercio.pe</t>
        </is>
      </c>
      <c r="D6" s="16" t="inlineStr">
        <is>
          <t>Banco de Credito del Peru (BCP)</t>
        </is>
      </c>
      <c r="E6" s="17" t="inlineStr">
        <is>
          <t>Respuestas: Bono 380 soles: ¿qué hacer si no he podido cobrar, por razones de fuer</t>
        </is>
      </c>
      <c r="F6" s="19" t="inlineStr">
        <is>
          <t>Z_no_relevante</t>
        </is>
      </c>
      <c r="G6" s="19" t="n"/>
      <c r="H6" s="20" t="n"/>
      <c r="I6" s="19" t="inlineStr">
        <is>
          <t>Titular truncado en el archivo.</t>
        </is>
      </c>
      <c r="J6" s="18" t="inlineStr">
        <is>
          <t>https://mag.elcomercio.pe/respuestas/bono-380-soles-que-hacer-si-mi-familiar-no-ha-podido-cobrar-bono-yo-me-quedo-en-casa-por-razones-de-fuerza-mayor-nnda-nnlt-noticia/</t>
        </is>
      </c>
    </row>
    <row r="7" ht="28.05" customHeight="1">
      <c r="A7" s="15" t="n">
        <v>6</v>
      </c>
      <c r="B7" s="15" t="inlineStr">
        <is>
          <t>2023-02-21</t>
        </is>
      </c>
      <c r="C7" s="16" t="inlineStr">
        <is>
          <t>gestion.pe</t>
        </is>
      </c>
      <c r="D7" s="16" t="inlineStr">
        <is>
          <t>Cementos Pacasmayo</t>
        </is>
      </c>
      <c r="E7" s="17" t="inlineStr">
        <is>
          <t>BVL cierra a la baja tras datos en EE.UU. y en víspera de minutas de la Fed</t>
        </is>
      </c>
      <c r="F7" s="19" t="inlineStr">
        <is>
          <t>Z_indice_bursatil</t>
        </is>
      </c>
      <c r="G7" s="19" t="n"/>
      <c r="H7" s="20" t="n"/>
      <c r="I7" s="19" t="n"/>
      <c r="J7" s="18" t="inlineStr">
        <is>
          <t>https://gestion.pe/economia/mercados/bvl-cierra-a-la-baja-tras-datos-en-eeuu-y-en-vispera-de-minutas-de-la-fed-noticia/</t>
        </is>
      </c>
    </row>
    <row r="8" ht="28.05" customHeight="1">
      <c r="A8" s="15" t="n">
        <v>7</v>
      </c>
      <c r="B8" s="15" t="inlineStr">
        <is>
          <t>2023-06-09</t>
        </is>
      </c>
      <c r="C8" s="16" t="inlineStr">
        <is>
          <t>larepublica.pe</t>
        </is>
      </c>
      <c r="D8" s="16" t="inlineStr">
        <is>
          <t>Banco de Credito del Peru (BCP)</t>
        </is>
      </c>
      <c r="E8" s="17" t="inlineStr">
        <is>
          <t>¿Cómo fraccionar mi recibo de luz Enel si tengo riesgo de corte por deudas?</t>
        </is>
      </c>
      <c r="F8" s="19" t="inlineStr">
        <is>
          <t>Z_no_relevante</t>
        </is>
      </c>
      <c r="G8" s="19" t="n"/>
      <c r="H8" s="20" t="n"/>
      <c r="I8" s="19" t="n"/>
      <c r="J8" s="18" t="inlineStr">
        <is>
          <t>https://larepublica.pe/sociedad/2023/06/09/enel-como-fraccionar-mi-recibo-de-luz-si-tengo-corte-por-deuda-consulta-fraccionamiento-de-recibo-de-luz-vencido-por-deuda-nspe-810144</t>
        </is>
      </c>
    </row>
    <row r="9" ht="28.05" customHeight="1">
      <c r="A9" s="15" t="n">
        <v>8</v>
      </c>
      <c r="B9" s="15" t="inlineStr">
        <is>
          <t>2025-06-07</t>
        </is>
      </c>
      <c r="C9" s="16" t="inlineStr">
        <is>
          <t>gestion.pe</t>
        </is>
      </c>
      <c r="D9" s="16" t="inlineStr">
        <is>
          <t>Alicorp</t>
        </is>
      </c>
      <c r="E9" s="17" t="inlineStr">
        <is>
          <t>Centrum PUCP apunta a la energía, minería y logística en su estrategia de expansión académica</t>
        </is>
      </c>
      <c r="F9" s="19" t="inlineStr">
        <is>
          <t>Z_no_relevante</t>
        </is>
      </c>
      <c r="G9" s="19" t="n"/>
      <c r="H9" s="20" t="n"/>
      <c r="I9" s="19" t="n"/>
      <c r="J9" s="18" t="inlineStr">
        <is>
          <t>https://gestion.pe/economia/empresas/centrum-pucp-apunta-a-sectores-clave-como-energia-mineria-y-logistica-en-su-estrategia-de-expansion-academica-noticia/</t>
        </is>
      </c>
    </row>
    <row r="10" ht="28.05" customHeight="1">
      <c r="A10" s="15" t="n">
        <v>9</v>
      </c>
      <c r="B10" s="15" t="inlineStr">
        <is>
          <t>2021-08-11</t>
        </is>
      </c>
      <c r="C10" s="16" t="inlineStr">
        <is>
          <t>larepublica.pe</t>
        </is>
      </c>
      <c r="D10" s="16" t="inlineStr">
        <is>
          <t>Banco de Credito del Peru (BCP)</t>
        </is>
      </c>
      <c r="E10" s="17" t="inlineStr">
        <is>
          <t>¿A cuánto está el dólar hoy? Tipo de cambio este miércoles 11 de agosto</t>
        </is>
      </c>
      <c r="F10" s="19" t="inlineStr">
        <is>
          <t>Z_mencion_incidental</t>
        </is>
      </c>
      <c r="G10" s="19" t="n"/>
      <c r="H10" s="20" t="inlineStr">
        <is>
          <t>x</t>
        </is>
      </c>
      <c r="I10" s="19" t="inlineStr">
        <is>
          <t>EJEMPLAR de las ~36 notas de tipo de cambio: el BCP es la fuente de la cotizacion. Alternativa: Z_no_relevante. Decidir una vez y se aplica a todas.</t>
        </is>
      </c>
      <c r="J10" s="18" t="inlineStr">
        <is>
          <t>https://larepublica.pe/datos-lr/respuestas/2021/08/11/a-cuanto-esta-el-dolar-hoy-tipo-de-cambio-este-miercoles-11-de-agosto-atmp/</t>
        </is>
      </c>
    </row>
    <row r="11" ht="28.05" customHeight="1">
      <c r="A11" s="15" t="n">
        <v>10</v>
      </c>
      <c r="B11" s="15" t="inlineStr">
        <is>
          <t>2022-11-22</t>
        </is>
      </c>
      <c r="C11" s="16" t="inlineStr">
        <is>
          <t>gestion.pe</t>
        </is>
      </c>
      <c r="D11" s="16" t="inlineStr">
        <is>
          <t>Aceros Arequipa</t>
        </is>
      </c>
      <c r="E11" s="17" t="inlineStr">
        <is>
          <t>Acciones: los puntos a tomar en cuenta de recibir ganancias por dividendos</t>
        </is>
      </c>
      <c r="F11" s="19" t="inlineStr">
        <is>
          <t>Z_no_relevante</t>
        </is>
      </c>
      <c r="G11" s="19" t="n"/>
      <c r="H11" s="20" t="inlineStr">
        <is>
          <t>x</t>
        </is>
      </c>
      <c r="I11" s="19" t="inlineStr">
        <is>
          <t>Nota educativa sobre dividendos, sin hecho de Aceros Arequipa.</t>
        </is>
      </c>
      <c r="J11" s="18" t="inlineStr">
        <is>
          <t>https://gestion.pe/tu-dinero/acciones-los-puntos-a-tomar-en-cuenta-de-recibir-ganancias-por-dividendos-noticia/</t>
        </is>
      </c>
    </row>
    <row r="12" ht="28.05" customHeight="1">
      <c r="A12" s="15" t="n">
        <v>11</v>
      </c>
      <c r="B12" s="15" t="inlineStr">
        <is>
          <t>2021-08-03</t>
        </is>
      </c>
      <c r="C12" s="16" t="inlineStr">
        <is>
          <t>elcomercio.pe</t>
        </is>
      </c>
      <c r="D12" s="16" t="inlineStr">
        <is>
          <t>Compania de Minas Buenaventura</t>
        </is>
      </c>
      <c r="E12" s="17" t="inlineStr">
        <is>
          <t>Bolsa de Valores de Lima cierra en rojo por fuerte caída en los sectores financiero y consumo</t>
        </is>
      </c>
      <c r="F12" s="19" t="inlineStr">
        <is>
          <t>Z_indice_bursatil</t>
        </is>
      </c>
      <c r="G12" s="19" t="n"/>
      <c r="H12" s="20" t="n"/>
      <c r="I12" s="19" t="n"/>
      <c r="J12" s="18" t="inlineStr">
        <is>
          <t>https://elcomercio.pe/economia/mercados/bolsa-de-valores-de-lima-cierra-en-rojo-por-fuerte-caida-en-los-sectores-financiero-y-consumo-nndc-noticia/</t>
        </is>
      </c>
    </row>
    <row r="13" ht="28.05" customHeight="1">
      <c r="A13" s="15" t="n">
        <v>12</v>
      </c>
      <c r="B13" s="15" t="inlineStr">
        <is>
          <t>2018-06-22</t>
        </is>
      </c>
      <c r="C13" s="16" t="inlineStr">
        <is>
          <t>gestion.pe</t>
        </is>
      </c>
      <c r="D13" s="16" t="inlineStr">
        <is>
          <t>Banco de Credito del Peru (BCP)</t>
        </is>
      </c>
      <c r="E13" s="17" t="inlineStr">
        <is>
          <t>BVL cierra mixta apoyada por acciones financieras, índice selectivo corta racha negativa</t>
        </is>
      </c>
      <c r="F13" s="19" t="inlineStr">
        <is>
          <t>Z_indice_bursatil</t>
        </is>
      </c>
      <c r="G13" s="19" t="n"/>
      <c r="H13" s="20" t="n"/>
      <c r="I13" s="19" t="n"/>
      <c r="J13" s="18" t="inlineStr">
        <is>
          <t>http://gestion.pe/economia/mercados/bvl-cierra-mixta-apoyada-acciones-financieras-indice-selectivo-corta-racha-negativa-236681</t>
        </is>
      </c>
    </row>
    <row r="14" ht="28.05" customHeight="1">
      <c r="A14" s="15" t="n">
        <v>13</v>
      </c>
      <c r="B14" s="15" t="inlineStr">
        <is>
          <t>2021-06-04</t>
        </is>
      </c>
      <c r="C14" s="16" t="inlineStr">
        <is>
          <t>gestion.pe</t>
        </is>
      </c>
      <c r="D14" s="16" t="inlineStr">
        <is>
          <t>Banco de Credito del Peru (BCP)</t>
        </is>
      </c>
      <c r="E14" s="17" t="inlineStr">
        <is>
          <t>Las AFP tendrán mayores opciones de inversión para los fondos privados de pensiones</t>
        </is>
      </c>
      <c r="F14" s="19" t="inlineStr">
        <is>
          <t>Z_sector_macro</t>
        </is>
      </c>
      <c r="G14" s="19" t="n"/>
      <c r="H14" s="20" t="inlineStr">
        <is>
          <t>x</t>
        </is>
      </c>
      <c r="I14" s="19" t="inlineStr">
        <is>
          <t>Regulacion de inversiones de AFP: entorno del sector financiero.</t>
        </is>
      </c>
      <c r="J14" s="18" t="inlineStr">
        <is>
          <t>https://gestion.pe/economia/las-afp-tendran-mayores-opciones-de-inversion-de-los-fondos-privados-de-pensiones-afp-integra-afp-profuturo-afp-habitat-prima-afp-sbs-nndc-noticia/</t>
        </is>
      </c>
    </row>
    <row r="15" ht="28.05" customHeight="1">
      <c r="A15" s="15" t="n">
        <v>14</v>
      </c>
      <c r="B15" s="15" t="inlineStr">
        <is>
          <t>2024-04-08</t>
        </is>
      </c>
      <c r="C15" s="16" t="inlineStr">
        <is>
          <t>larepublica.pe</t>
        </is>
      </c>
      <c r="D15" s="16" t="inlineStr">
        <is>
          <t>Banco de Credito del Peru (BCP)</t>
        </is>
      </c>
      <c r="E15" s="17" t="inlineStr">
        <is>
          <t>Las nuevas comisiones de Yape Empresa y open banking, por Ragi Burhum</t>
        </is>
      </c>
      <c r="F15" s="19" t="inlineStr">
        <is>
          <t>B_operacional</t>
        </is>
      </c>
      <c r="G15" s="19" t="inlineStr">
        <is>
          <t>neutral</t>
        </is>
      </c>
      <c r="H15" s="20" t="inlineStr">
        <is>
          <t>x</t>
        </is>
      </c>
      <c r="I15" s="19" t="inlineStr">
        <is>
          <t>Yape es del BCP y el titular reporta nuevas comisiones. Alternativa: C_analisis_opinion (columna firmada).</t>
        </is>
      </c>
      <c r="J15" s="18" t="inlineStr">
        <is>
          <t>https://larepublica.pe/opinion/2024/04/08/las-nuevas-comisiones-de-yape-empresa-y-open-banking-por-ragi-burhum-280816</t>
        </is>
      </c>
    </row>
    <row r="16" ht="28.05" customHeight="1">
      <c r="A16" s="15" t="n">
        <v>15</v>
      </c>
      <c r="B16" s="15" t="inlineStr">
        <is>
          <t>2021-11-26</t>
        </is>
      </c>
      <c r="C16" s="16" t="inlineStr">
        <is>
          <t>larepublica.pe</t>
        </is>
      </c>
      <c r="D16" s="16" t="inlineStr">
        <is>
          <t>Banco de Credito del Peru (BCP)</t>
        </is>
      </c>
      <c r="E16" s="17" t="inlineStr">
        <is>
          <t>Dólar en Perú: tipo de cambio abre al alza y se cotiza en S/ 4,0399</t>
        </is>
      </c>
      <c r="F16" s="19" t="inlineStr">
        <is>
          <t>Z_mencion_incidental</t>
        </is>
      </c>
      <c r="G16" s="19" t="n"/>
      <c r="H16" s="20" t="n"/>
      <c r="I16" s="19" t="inlineStr">
        <is>
          <t>Tipo de cambio (ver fila 9).</t>
        </is>
      </c>
      <c r="J16" s="18" t="inlineStr">
        <is>
          <t>https://larepublica.pe/economia/2021/11/26/dolar-en-peru-tipo-de-cambio-abre-al-alza-y-se-cotiza-en-s-40399/</t>
        </is>
      </c>
    </row>
    <row r="17" ht="28.05" customHeight="1">
      <c r="A17" s="15" t="n">
        <v>16</v>
      </c>
      <c r="B17" s="15" t="inlineStr">
        <is>
          <t>2014-08-01</t>
        </is>
      </c>
      <c r="C17" s="16" t="inlineStr">
        <is>
          <t>gestion.pe</t>
        </is>
      </c>
      <c r="D17" s="16" t="inlineStr">
        <is>
          <t>Cementos Pacasmayo</t>
        </is>
      </c>
      <c r="E17" s="17" t="inlineStr">
        <is>
          <t>Bolsa de Valores de Lima sube 0.33% apoyada por precio del oro</t>
        </is>
      </c>
      <c r="F17" s="19" t="inlineStr">
        <is>
          <t>Z_indice_bursatil</t>
        </is>
      </c>
      <c r="G17" s="19" t="n"/>
      <c r="H17" s="20" t="n"/>
      <c r="I17" s="19" t="n"/>
      <c r="J17" s="18" t="inlineStr">
        <is>
          <t>http://gestion.pe/economia/bolsa-valores-lima-sube-033-apoyada-precio-oro-2104504</t>
        </is>
      </c>
    </row>
    <row r="18" ht="28.05" customHeight="1">
      <c r="A18" s="15" t="n">
        <v>17</v>
      </c>
      <c r="B18" s="15" t="inlineStr">
        <is>
          <t>2023-02-07</t>
        </is>
      </c>
      <c r="C18" s="16" t="inlineStr">
        <is>
          <t>gestion.pe</t>
        </is>
      </c>
      <c r="D18" s="16" t="inlineStr">
        <is>
          <t>Compania de Minas Buenaventura</t>
        </is>
      </c>
      <c r="E18" s="17" t="inlineStr">
        <is>
          <t>BVL cierra al alza ante expectativas por tasas de interés más altas en Estados Unidos</t>
        </is>
      </c>
      <c r="F18" s="19" t="inlineStr">
        <is>
          <t>Z_indice_bursatil</t>
        </is>
      </c>
      <c r="G18" s="19" t="n"/>
      <c r="H18" s="20" t="n"/>
      <c r="I18" s="19" t="n"/>
      <c r="J18" s="18" t="inlineStr">
        <is>
          <t>https://gestion.pe/economia/mercados/bvl-cierra-al-alza-ante-expectativas-por-tasas-de-interes-mas-altas-en-estados-unidos-noticia-2/</t>
        </is>
      </c>
    </row>
    <row r="19" ht="28.05" customHeight="1">
      <c r="A19" s="15" t="n">
        <v>18</v>
      </c>
      <c r="B19" s="15" t="inlineStr">
        <is>
          <t>2023-07-20</t>
        </is>
      </c>
      <c r="C19" s="16" t="inlineStr">
        <is>
          <t>gestion.pe</t>
        </is>
      </c>
      <c r="D19" s="16" t="inlineStr">
        <is>
          <t>Cementos Pacasmayo</t>
        </is>
      </c>
      <c r="E19" s="17" t="inlineStr">
        <is>
          <t>BVL cierra a la baja pese a sólido dato del empleo en Estados Unidos</t>
        </is>
      </c>
      <c r="F19" s="19" t="inlineStr">
        <is>
          <t>Z_indice_bursatil</t>
        </is>
      </c>
      <c r="G19" s="19" t="n"/>
      <c r="H19" s="20" t="n"/>
      <c r="I19" s="19" t="n"/>
      <c r="J19" s="18" t="inlineStr">
        <is>
          <t>https://gestion.pe/economia/mercados/bvl-cierra-a-la-baja-pese-a-solido-dato-del-empleo-en-estados-unidos-fed-noticia/</t>
        </is>
      </c>
    </row>
    <row r="20" ht="28.05" customHeight="1">
      <c r="A20" s="15" t="n">
        <v>19</v>
      </c>
      <c r="B20" s="15" t="inlineStr">
        <is>
          <t>2023-07-26</t>
        </is>
      </c>
      <c r="C20" s="16" t="inlineStr">
        <is>
          <t>larepublica.pe</t>
        </is>
      </c>
      <c r="D20" s="16" t="inlineStr">
        <is>
          <t>InRetail Peru Corp</t>
        </is>
      </c>
      <c r="E20" s="17" t="inlineStr">
        <is>
          <t>Arequipa y Puno confirman movilizaciones para Fiestas Patrias</t>
        </is>
      </c>
      <c r="F20" s="19" t="inlineStr">
        <is>
          <t>Z_no_relevante</t>
        </is>
      </c>
      <c r="G20" s="19" t="n"/>
      <c r="H20" s="20" t="inlineStr">
        <is>
          <t>x</t>
        </is>
      </c>
      <c r="I20" s="19" t="inlineStr">
        <is>
          <t>Movilizaciones podrian afectar tiendas, pero el titular no lo dice.</t>
        </is>
      </c>
      <c r="J20" s="18" t="inlineStr">
        <is>
          <t>https://larepublica.pe/sociedad/2023/07/26/arequipa-y-puno-confirman-movilizaciones-para-fiestas-patrias-protestas-en-peru-dina-boluarte-fiestas-patrias-lrsd-2512328</t>
        </is>
      </c>
    </row>
    <row r="21" ht="28.05" customHeight="1">
      <c r="A21" s="15" t="n">
        <v>20</v>
      </c>
      <c r="B21" s="15" t="inlineStr">
        <is>
          <t>2025-11-18</t>
        </is>
      </c>
      <c r="C21" s="16" t="inlineStr">
        <is>
          <t>larepublica.pe</t>
        </is>
      </c>
      <c r="D21" s="16" t="inlineStr">
        <is>
          <t>Banco de Credito del Peru (BCP)</t>
        </is>
      </c>
      <c r="E21" s="17" t="inlineStr">
        <is>
          <t>PBI de septiembre cerró en 3,9% y supera expectativas de especialistas</t>
        </is>
      </c>
      <c r="F21" s="19" t="inlineStr">
        <is>
          <t>Z_sector_macro</t>
        </is>
      </c>
      <c r="G21" s="19" t="n"/>
      <c r="H21" s="20" t="n"/>
      <c r="I21" s="19" t="inlineStr">
        <is>
          <t>PBI mensual.</t>
        </is>
      </c>
      <c r="J21" s="18" t="inlineStr">
        <is>
          <t>https://larepublica.pe/economia/2025/11/18/pbi-de-septiembre-cerro-en-39-y-supera-expectativas-de-especialistas-hnews-1568322</t>
        </is>
      </c>
    </row>
    <row r="22" ht="28.05" customHeight="1">
      <c r="A22" s="15" t="n">
        <v>21</v>
      </c>
      <c r="B22" s="15" t="inlineStr">
        <is>
          <t>2014-12-31</t>
        </is>
      </c>
      <c r="C22" s="16" t="inlineStr">
        <is>
          <t>larepublica.pe</t>
        </is>
      </c>
      <c r="D22" s="16" t="inlineStr">
        <is>
          <t>Saga Falabella</t>
        </is>
      </c>
      <c r="E22" s="17" t="inlineStr">
        <is>
          <t>“No promovería políticos, cigarrillos ni armas”</t>
        </is>
      </c>
      <c r="F22" s="19" t="inlineStr">
        <is>
          <t>Z_no_relevante</t>
        </is>
      </c>
      <c r="G22" s="19" t="n"/>
      <c r="H22" s="20" t="inlineStr">
        <is>
          <t>x</t>
        </is>
      </c>
      <c r="I22" s="19" t="inlineStr">
        <is>
          <t>Cita de entrevista sin contexto ni empresa.</t>
        </is>
      </c>
      <c r="J22" s="18" t="n"/>
    </row>
    <row r="23" ht="28.05" customHeight="1">
      <c r="A23" s="15" t="n">
        <v>22</v>
      </c>
      <c r="B23" s="15" t="inlineStr">
        <is>
          <t>2021-01-04</t>
        </is>
      </c>
      <c r="C23" s="16" t="inlineStr">
        <is>
          <t>gestion.pe</t>
        </is>
      </c>
      <c r="D23" s="16" t="inlineStr">
        <is>
          <t>Luz del Sur</t>
        </is>
      </c>
      <c r="E23" s="17" t="inlineStr">
        <is>
          <t>Bolsa de Valores Lima cerró con ganancias impulsada por avance de acciones mineras NNDC</t>
        </is>
      </c>
      <c r="F23" s="19" t="inlineStr">
        <is>
          <t>Z_indice_bursatil</t>
        </is>
      </c>
      <c r="G23" s="19" t="n"/>
      <c r="H23" s="20" t="n"/>
      <c r="I23" s="19" t="n"/>
      <c r="J23" s="18" t="inlineStr">
        <is>
          <t>https://gestion.pe/economia/mercados/bolsa-de-valores-lima-cerro-con-ganancias-impulsada-por-avance-de-acciones-mineras-nndc-noticia/</t>
        </is>
      </c>
    </row>
    <row r="24" ht="28.05" customHeight="1">
      <c r="A24" s="15" t="n">
        <v>23</v>
      </c>
      <c r="B24" s="15" t="inlineStr">
        <is>
          <t>2017-11-26</t>
        </is>
      </c>
      <c r="C24" s="16" t="inlineStr">
        <is>
          <t>elcomercio.pe</t>
        </is>
      </c>
      <c r="D24" s="16" t="inlineStr">
        <is>
          <t>Cementos Pacasmayo</t>
        </is>
      </c>
      <c r="E24" s="17" t="inlineStr">
        <is>
          <t>Credicorp Capital señala que cifras del Perú son prometedoras</t>
        </is>
      </c>
      <c r="F24" s="19" t="inlineStr">
        <is>
          <t>Z_sector_macro</t>
        </is>
      </c>
      <c r="G24" s="19" t="n"/>
      <c r="H24" s="20" t="n"/>
      <c r="I24" s="19" t="inlineStr">
        <is>
          <t>Comentario macro de Credicorp Capital.</t>
        </is>
      </c>
      <c r="J24" s="18" t="inlineStr">
        <is>
          <t>http://elcomercio.pe/economia/credicorp-capital-senala-cifras-peru-son-prometedoras-noticia-476747</t>
        </is>
      </c>
    </row>
    <row r="25" ht="28.05" customHeight="1">
      <c r="A25" s="15" t="n">
        <v>24</v>
      </c>
      <c r="B25" s="15" t="inlineStr">
        <is>
          <t>2018-05-24</t>
        </is>
      </c>
      <c r="C25" s="16" t="inlineStr">
        <is>
          <t>gestion.pe</t>
        </is>
      </c>
      <c r="D25" s="16" t="inlineStr">
        <is>
          <t>Ferreycorp</t>
        </is>
      </c>
      <c r="E25" s="17" t="inlineStr">
        <is>
          <t>BVL reduce en 90% tarifas de negociación para valores del Índice de Buen Gobierno Corporativo</t>
        </is>
      </c>
      <c r="F25" s="19" t="inlineStr">
        <is>
          <t>Z_indice_bursatil</t>
        </is>
      </c>
      <c r="G25" s="19" t="n"/>
      <c r="H25" s="20" t="inlineStr">
        <is>
          <t>x</t>
        </is>
      </c>
      <c r="I25" s="19" t="inlineStr">
        <is>
          <t>Medida de estructura del mercado bursatil (comisiones de negociacion), no afecta al negocio. Corregida desde Z_sector_macro por coherencia con 246, 538 y 546. Discutida con el usuario.</t>
        </is>
      </c>
      <c r="J25" s="18" t="inlineStr">
        <is>
          <t>http://gestion.pe/economia/mercados/reducen-90-tarifas-negociacion-valores-indice-buen-gobierno-corporativo-234349</t>
        </is>
      </c>
    </row>
    <row r="26" ht="28.05" customHeight="1">
      <c r="A26" s="15" t="n">
        <v>25</v>
      </c>
      <c r="B26" s="15" t="inlineStr">
        <is>
          <t>2018-07-24</t>
        </is>
      </c>
      <c r="C26" s="16" t="inlineStr">
        <is>
          <t>gestion.pe</t>
        </is>
      </c>
      <c r="D26" s="16" t="inlineStr">
        <is>
          <t>Minsur</t>
        </is>
      </c>
      <c r="E26" s="17" t="inlineStr">
        <is>
          <t>BVL sube 0.98% y cierra en 20,331.12 puntos</t>
        </is>
      </c>
      <c r="F26" s="19" t="inlineStr">
        <is>
          <t>Z_indice_bursatil</t>
        </is>
      </c>
      <c r="G26" s="19" t="n"/>
      <c r="H26" s="20" t="n"/>
      <c r="I26" s="19" t="n"/>
      <c r="J26" s="18" t="inlineStr">
        <is>
          <t>http://gestion.pe/economia/mercados/bvl-sube-0-98-cierra-20-331-12-puntos-239469</t>
        </is>
      </c>
    </row>
    <row r="27" ht="28.05" customHeight="1">
      <c r="A27" s="15" t="n">
        <v>26</v>
      </c>
      <c r="B27" s="15" t="inlineStr">
        <is>
          <t>2022-07-05</t>
        </is>
      </c>
      <c r="C27" s="16" t="inlineStr">
        <is>
          <t>gestion.pe</t>
        </is>
      </c>
      <c r="D27" s="16" t="inlineStr">
        <is>
          <t>Minsur</t>
        </is>
      </c>
      <c r="E27" s="17" t="inlineStr">
        <is>
          <t>Las perspectivas para la BVL con un precio del cobre en contracción y temores de recesión</t>
        </is>
      </c>
      <c r="F27" s="19" t="inlineStr">
        <is>
          <t>Z_sector_macro</t>
        </is>
      </c>
      <c r="G27" s="19" t="n"/>
      <c r="H27" s="20" t="n"/>
      <c r="I27" s="19" t="inlineStr">
        <is>
          <t>Precio del cobre.</t>
        </is>
      </c>
      <c r="J27" s="18" t="inlineStr">
        <is>
          <t>https://gestion.pe/economia/las-perspectivas-para-la-bvl-con-un-precio-del-cobre-en-contraccion-y-temores-de-recesion-noticia/</t>
        </is>
      </c>
    </row>
    <row r="28" ht="28.05" customHeight="1">
      <c r="A28" s="15" t="n">
        <v>27</v>
      </c>
      <c r="B28" s="15" t="inlineStr">
        <is>
          <t>2019-08-15</t>
        </is>
      </c>
      <c r="C28" s="16" t="inlineStr">
        <is>
          <t>elcomercio.pe</t>
        </is>
      </c>
      <c r="D28" s="16" t="inlineStr">
        <is>
          <t>Alicorp</t>
        </is>
      </c>
      <c r="E28" s="17" t="inlineStr">
        <is>
          <t>¿Por qué son importantes dos cucharaditas de sangrecita a la semana para combatir la anemia?</t>
        </is>
      </c>
      <c r="F28" s="19" t="inlineStr">
        <is>
          <t>Z_no_relevante</t>
        </is>
      </c>
      <c r="G28" s="19" t="n"/>
      <c r="H28" s="20" t="n"/>
      <c r="I28" s="19" t="n"/>
      <c r="J28" s="18" t="inlineStr">
        <is>
          <t>http://elcomercio.pe/somos/historias/son-importantes-dos-cucharaditas-sangrecita-semana-combatir-anemia-noticia-ecpm-665567</t>
        </is>
      </c>
    </row>
    <row r="29" ht="28.05" customHeight="1">
      <c r="A29" s="15" t="n">
        <v>28</v>
      </c>
      <c r="B29" s="15" t="inlineStr">
        <is>
          <t>2023-03-13</t>
        </is>
      </c>
      <c r="C29" s="16" t="inlineStr">
        <is>
          <t>larepublica.pe</t>
        </is>
      </c>
      <c r="D29" s="16" t="inlineStr">
        <is>
          <t>Alicorp</t>
        </is>
      </c>
      <c r="E29" s="17" t="inlineStr">
        <is>
          <t>JorGeek: el peruano que rechazó un sueldo de S/10.000 para ser influencer en TikTok y hoy gana el doble</t>
        </is>
      </c>
      <c r="F29" s="19" t="inlineStr">
        <is>
          <t>Z_no_relevante</t>
        </is>
      </c>
      <c r="G29" s="19" t="n"/>
      <c r="H29" s="20" t="n"/>
      <c r="I29" s="19" t="n"/>
      <c r="J29" s="18" t="inlineStr">
        <is>
          <t>https://larepublica.pe/datos-lr/respuestas/2023/03/13/jorgeek-el-tiktoker-peruano-que-rechazo-un-sueldo-de-s-10000-para-ser-influencer-y-hoy-gana-el-doble-en-las-redes-sociales-instagram-tiktok-evat-1200342</t>
        </is>
      </c>
    </row>
    <row r="30" ht="28.05" customHeight="1">
      <c r="A30" s="15" t="n">
        <v>29</v>
      </c>
      <c r="B30" s="15" t="inlineStr">
        <is>
          <t>2022-06-25</t>
        </is>
      </c>
      <c r="C30" s="16" t="inlineStr">
        <is>
          <t>larepublica.pe</t>
        </is>
      </c>
      <c r="D30" s="16" t="inlineStr">
        <is>
          <t>Banco de Credito del Peru (BCP)</t>
        </is>
      </c>
      <c r="E30" s="17" t="inlineStr">
        <is>
          <t>¿A cuánto cotiza el tipo de cambio hoy, 25 de junio? Compra y venta de dólares</t>
        </is>
      </c>
      <c r="F30" s="19" t="inlineStr">
        <is>
          <t>Z_mencion_incidental</t>
        </is>
      </c>
      <c r="G30" s="19" t="n"/>
      <c r="H30" s="20" t="n"/>
      <c r="I30" s="19" t="inlineStr">
        <is>
          <t>Tipo de cambio (ver fila 9).</t>
        </is>
      </c>
      <c r="J30" s="18" t="inlineStr">
        <is>
          <t>https://larepublica.pe/economia/precio-del-dolar/2022/06/25/como-esta-el-dolar-hoy-sabado-25-de-junio-compra-y-venta-de-dolares-en-peru-atmp/</t>
        </is>
      </c>
    </row>
    <row r="31" ht="28.05" customHeight="1">
      <c r="A31" s="15" t="n">
        <v>30</v>
      </c>
      <c r="B31" s="15" t="inlineStr">
        <is>
          <t>2023-03-23</t>
        </is>
      </c>
      <c r="C31" s="16" t="inlineStr">
        <is>
          <t>larepublica.pe</t>
        </is>
      </c>
      <c r="D31" s="16" t="inlineStr">
        <is>
          <t>Alicorp</t>
        </is>
      </c>
      <c r="E31" s="17" t="inlineStr">
        <is>
          <t>Bolsa de Valores de Lima cierra con pérdidas y cae 1,19% este jueves 23 de marzo</t>
        </is>
      </c>
      <c r="F31" s="19" t="inlineStr">
        <is>
          <t>Z_indice_bursatil</t>
        </is>
      </c>
      <c r="G31" s="19" t="n"/>
      <c r="H31" s="20" t="n"/>
      <c r="I31" s="19" t="n"/>
      <c r="J31" s="18" t="inlineStr">
        <is>
          <t>https://larepublica.pe/economia/2023/03/23/bolsa-de-valores-de-lima-cierra-con-perdidas-y-cae-119-este-jueves-23-de-marzo-de-2023-bvl-reserva-federal-wall-street-838396</t>
        </is>
      </c>
    </row>
    <row r="32" ht="28.05" customHeight="1">
      <c r="A32" s="15" t="n">
        <v>31</v>
      </c>
      <c r="B32" s="15" t="inlineStr">
        <is>
          <t>2023-07-13</t>
        </is>
      </c>
      <c r="C32" s="16" t="inlineStr">
        <is>
          <t>gestion.pe</t>
        </is>
      </c>
      <c r="D32" s="16" t="inlineStr">
        <is>
          <t>Luz del Sur</t>
        </is>
      </c>
      <c r="E32" s="17" t="inlineStr">
        <is>
          <t>BVL cierra al alza en medio de expectativas por la alza de tasas en Estados Unidos</t>
        </is>
      </c>
      <c r="F32" s="19" t="inlineStr">
        <is>
          <t>Z_indice_bursatil</t>
        </is>
      </c>
      <c r="G32" s="19" t="n"/>
      <c r="H32" s="20" t="n"/>
      <c r="I32" s="19" t="n"/>
      <c r="J32" s="18" t="inlineStr">
        <is>
          <t>https://gestion.pe/economia/mercados/bvl-cierra-al-alza-en-medio-de-expectativas-por-la-alza-de-tasas-en-estados-unidos-tasas-de-interes-bcrp-acciones-noticia/</t>
        </is>
      </c>
    </row>
    <row r="33" ht="28.05" customHeight="1">
      <c r="A33" s="15" t="n">
        <v>32</v>
      </c>
      <c r="B33" s="15" t="inlineStr">
        <is>
          <t>2022-07-27</t>
        </is>
      </c>
      <c r="C33" s="16" t="inlineStr">
        <is>
          <t>gestion.pe</t>
        </is>
      </c>
      <c r="D33" s="16" t="inlineStr">
        <is>
          <t>Cementos Pacasmayo</t>
        </is>
      </c>
      <c r="E33" s="17" t="inlineStr">
        <is>
          <t>Bolsa de Valores de Lima cerró en rojo tras alza de tasas de Fed</t>
        </is>
      </c>
      <c r="F33" s="19" t="inlineStr">
        <is>
          <t>Z_indice_bursatil</t>
        </is>
      </c>
      <c r="G33" s="19" t="n"/>
      <c r="H33" s="20" t="n"/>
      <c r="I33" s="19" t="n"/>
      <c r="J33" s="18" t="inlineStr">
        <is>
          <t>https://gestion.pe/economia/mercados/bolsa-de-valores-de-lima-cerro-en-rojo-tras-alza-de-tasas-de-fed-estados-unidos-inflacion-rmmn-noticia-2/</t>
        </is>
      </c>
    </row>
    <row r="34" ht="28.05" customHeight="1">
      <c r="A34" s="15" t="n">
        <v>33</v>
      </c>
      <c r="B34" s="15" t="inlineStr">
        <is>
          <t>2019-09-19</t>
        </is>
      </c>
      <c r="C34" s="16" t="inlineStr">
        <is>
          <t>elcomercio.pe</t>
        </is>
      </c>
      <c r="D34" s="16" t="inlineStr">
        <is>
          <t>Alicorp</t>
        </is>
      </c>
      <c r="E34" s="17" t="inlineStr">
        <is>
          <t>"Sazón de Hierro": continúa la caravana contra la anemia</t>
        </is>
      </c>
      <c r="F34" s="19" t="inlineStr">
        <is>
          <t>Z_patrocinio_rse</t>
        </is>
      </c>
      <c r="G34" s="19" t="n"/>
      <c r="H34" s="20" t="n"/>
      <c r="I34" s="19" t="inlineStr">
        <is>
          <t>Campana Sazon de Hierro contra la anemia.</t>
        </is>
      </c>
      <c r="J34" s="18" t="inlineStr">
        <is>
          <t>http://elcomercio.pe/luces/sazon-hierro-continua-caravana-anemia-ecpm-noticia-677949</t>
        </is>
      </c>
    </row>
    <row r="35" ht="28.05" customHeight="1">
      <c r="A35" s="15" t="n">
        <v>34</v>
      </c>
      <c r="B35" s="15" t="inlineStr">
        <is>
          <t>2016-10-27</t>
        </is>
      </c>
      <c r="C35" s="16" t="inlineStr">
        <is>
          <t>gestion.pe</t>
        </is>
      </c>
      <c r="D35" s="16" t="inlineStr">
        <is>
          <t>Ferreycorp</t>
        </is>
      </c>
      <c r="E35" s="17" t="inlineStr">
        <is>
          <t>Mincetur anuncia programa para impulsar exportaciones a Brasil</t>
        </is>
      </c>
      <c r="F35" s="19" t="inlineStr">
        <is>
          <t>Z_sector_macro</t>
        </is>
      </c>
      <c r="G35" s="19" t="n"/>
      <c r="H35" s="20" t="n"/>
      <c r="I35" s="19" t="inlineStr">
        <is>
          <t>Politica de promocion de exportaciones.</t>
        </is>
      </c>
      <c r="J35" s="18" t="inlineStr">
        <is>
          <t>http://gestion.pe/economia/mincetur-anuncia-programa-impulsar-exportaciones-brasil-2173395</t>
        </is>
      </c>
    </row>
    <row r="36" ht="28.05" customHeight="1">
      <c r="A36" s="15" t="n">
        <v>35</v>
      </c>
      <c r="B36" s="15" t="inlineStr">
        <is>
          <t>2018-03-31</t>
        </is>
      </c>
      <c r="C36" s="16" t="inlineStr">
        <is>
          <t>elcomercio.pe</t>
        </is>
      </c>
      <c r="D36" s="16" t="inlineStr">
        <is>
          <t>Ferreycorp</t>
        </is>
      </c>
      <c r="E36" s="17" t="inlineStr">
        <is>
          <t>Semana Santa: ¿Qué tan devoto del pescado es el Perú?</t>
        </is>
      </c>
      <c r="F36" s="19" t="inlineStr">
        <is>
          <t>Z_no_relevante</t>
        </is>
      </c>
      <c r="G36" s="19" t="n"/>
      <c r="H36" s="20" t="n"/>
      <c r="I36" s="19" t="n"/>
      <c r="J36" s="18" t="inlineStr">
        <is>
          <t>http://elcomercio.pe/economia/peru/semana-santa-devoto-pescado-peru-noticia-508451</t>
        </is>
      </c>
    </row>
    <row r="37" ht="28.05" customHeight="1">
      <c r="A37" s="15" t="n">
        <v>36</v>
      </c>
      <c r="B37" s="15" t="inlineStr">
        <is>
          <t>2018-02-03</t>
        </is>
      </c>
      <c r="C37" s="16" t="inlineStr">
        <is>
          <t>gestion.pe</t>
        </is>
      </c>
      <c r="D37" s="16" t="inlineStr">
        <is>
          <t>InRetail Peru Corp</t>
        </is>
      </c>
      <c r="E37" s="17" t="inlineStr">
        <is>
          <t>Inkafarma y Mifarma: Conozca los detalles del financiamiento para la compra</t>
        </is>
      </c>
      <c r="F37" s="19" t="inlineStr">
        <is>
          <t>A_ma_reestructuracion</t>
        </is>
      </c>
      <c r="G37" s="19" t="inlineStr">
        <is>
          <t>neutral</t>
        </is>
      </c>
      <c r="H37" s="20" t="inlineStr">
        <is>
          <t>x</t>
        </is>
      </c>
      <c r="I37" s="19" t="inlineStr">
        <is>
          <t>Financiamiento de la compra de Quicorp (Mifarma) por InRetail. Alternativa: B_dividendo_capital si se prioriza el financiamiento sobre la adquisicion.</t>
        </is>
      </c>
      <c r="J37" s="18" t="inlineStr">
        <is>
          <t>http://gestion.pe/economia/inkafarma-mifarma-conozca-detalles-financiamiento-compra-226415</t>
        </is>
      </c>
    </row>
    <row r="38" ht="28.05" customHeight="1">
      <c r="A38" s="15" t="n">
        <v>37</v>
      </c>
      <c r="B38" s="15" t="inlineStr">
        <is>
          <t>2024-02-16</t>
        </is>
      </c>
      <c r="C38" s="16" t="inlineStr">
        <is>
          <t>gestion.pe</t>
        </is>
      </c>
      <c r="D38" s="16" t="inlineStr">
        <is>
          <t>Alicorp</t>
        </is>
      </c>
      <c r="E38" s="17" t="inlineStr">
        <is>
          <t>Alicorp: Ebitda se contrae el 2023, pero tres negocios aumentan sus ganancias</t>
        </is>
      </c>
      <c r="F38" s="19" t="inlineStr">
        <is>
          <t>A_resultados</t>
        </is>
      </c>
      <c r="G38" s="19" t="inlineStr">
        <is>
          <t>negativo</t>
        </is>
      </c>
      <c r="H38" s="20" t="n"/>
      <c r="I38" s="19" t="inlineStr">
        <is>
          <t>Ebitda se contrae en 2023.</t>
        </is>
      </c>
      <c r="J38" s="18" t="inlineStr">
        <is>
          <t>https://gestion.pe/economia/empresas/alicorp-ebitda-se-contrae-el-2023-pero-tres-negocios-aumentan-sus-ganancias-peru-consumo-masivo-ecuador-bolivia-vitapro-galletas-aceites-empresas-noticia/</t>
        </is>
      </c>
    </row>
    <row r="39" ht="28.05" customHeight="1">
      <c r="A39" s="15" t="n">
        <v>38</v>
      </c>
      <c r="B39" s="15" t="inlineStr">
        <is>
          <t>2022-09-20</t>
        </is>
      </c>
      <c r="C39" s="16" t="inlineStr">
        <is>
          <t>elcomercio.pe</t>
        </is>
      </c>
      <c r="D39" s="16" t="inlineStr">
        <is>
          <t>Banco de Credito del Peru (BCP)</t>
        </is>
      </c>
      <c r="E39" s="17" t="inlineStr">
        <is>
          <t>Bolsa de Valores de Lima cerró al alza por avance de la mayoría de sectores</t>
        </is>
      </c>
      <c r="F39" s="19" t="inlineStr">
        <is>
          <t>Z_indice_bursatil</t>
        </is>
      </c>
      <c r="G39" s="19" t="n"/>
      <c r="H39" s="20" t="n"/>
      <c r="I39" s="19" t="n"/>
      <c r="J39" s="18" t="n"/>
    </row>
    <row r="40" ht="28.05" customHeight="1">
      <c r="A40" s="15" t="n">
        <v>39</v>
      </c>
      <c r="B40" s="15" t="inlineStr">
        <is>
          <t>2025-10-28</t>
        </is>
      </c>
      <c r="C40" s="16" t="inlineStr">
        <is>
          <t>larepublica.pe</t>
        </is>
      </c>
      <c r="D40" s="16" t="inlineStr">
        <is>
          <t>Luz del Sur</t>
        </is>
      </c>
      <c r="E40" s="17" t="inlineStr">
        <is>
          <t>¿Qué zonas de Lima Metropolitana estarán sin luz el 29 de octubre? Revisa los horarios de corte</t>
        </is>
      </c>
      <c r="F40" s="19" t="inlineStr">
        <is>
          <t>Z_mencion_incidental</t>
        </is>
      </c>
      <c r="G40" s="19" t="n"/>
      <c r="H40" s="20" t="inlineStr">
        <is>
          <t>x</t>
        </is>
      </c>
      <c r="I40" s="19" t="inlineStr">
        <is>
          <t>EJEMPLAR de avisos de corte programado de luz: nota de servicio, sin hecho corporativo. Alternativa: B_operacional. Aplica tambien a 516 y 519.</t>
        </is>
      </c>
      <c r="J40" s="18" t="inlineStr">
        <is>
          <t>https://larepublica.pe/sociedad/2025/10/28/corte-de-luz-en-lima-metropolitana-programado-por-pluz-energia-del-miercoles-29-al-viernes-31-de-octubre-zonas-afectadas-y-horarios-atmp-2568300</t>
        </is>
      </c>
    </row>
    <row r="41" ht="28.05" customHeight="1">
      <c r="A41" s="15" t="n">
        <v>40</v>
      </c>
      <c r="B41" s="15" t="inlineStr">
        <is>
          <t>2015-06-11</t>
        </is>
      </c>
      <c r="C41" s="16" t="inlineStr">
        <is>
          <t>gestion.pe</t>
        </is>
      </c>
      <c r="D41" s="16" t="inlineStr">
        <is>
          <t>Banco de Credito del Peru (BCP)</t>
        </is>
      </c>
      <c r="E41" s="17" t="inlineStr">
        <is>
          <t>Brasil será el campeón de la Copa América, pronostica Credicorp Capital</t>
        </is>
      </c>
      <c r="F41" s="19" t="inlineStr">
        <is>
          <t>Z_mencion_incidental</t>
        </is>
      </c>
      <c r="G41" s="19" t="n"/>
      <c r="H41" s="20" t="inlineStr">
        <is>
          <t>x</t>
        </is>
      </c>
      <c r="I41" s="19" t="inlineStr">
        <is>
          <t>Credicorp Capital como fuente de un pronostico deportivo.</t>
        </is>
      </c>
      <c r="J41" s="18" t="inlineStr">
        <is>
          <t>http://gestion.pe/tendencias/brasil-campeon-copa-america-pronostica-credicorp-capital-2134485</t>
        </is>
      </c>
    </row>
    <row r="42" ht="28.05" customHeight="1">
      <c r="A42" s="15" t="n">
        <v>41</v>
      </c>
      <c r="B42" s="15" t="inlineStr">
        <is>
          <t>2023-10-17</t>
        </is>
      </c>
      <c r="C42" s="16" t="inlineStr">
        <is>
          <t>gestion.pe</t>
        </is>
      </c>
      <c r="D42" s="16" t="inlineStr">
        <is>
          <t>Alicorp</t>
        </is>
      </c>
      <c r="E42" s="17" t="inlineStr">
        <is>
          <t>BVL cierra a la baja tras sólidos datos de ventas minoristas en Estados Unidos</t>
        </is>
      </c>
      <c r="F42" s="19" t="inlineStr">
        <is>
          <t>Z_indice_bursatil</t>
        </is>
      </c>
      <c r="G42" s="19" t="n"/>
      <c r="H42" s="20" t="n"/>
      <c r="I42" s="19" t="n"/>
      <c r="J42" s="18" t="inlineStr">
        <is>
          <t>https://gestion.pe/economia/mercados/bvl-cierra-a-la-baja-tras-solidos-datos-de-ventas-minoristas-en-estados-unidos-noticia/</t>
        </is>
      </c>
    </row>
    <row r="43" ht="28.05" customHeight="1">
      <c r="A43" s="15" t="n">
        <v>42</v>
      </c>
      <c r="B43" s="15" t="inlineStr">
        <is>
          <t>2024-07-18</t>
        </is>
      </c>
      <c r="C43" s="16" t="inlineStr">
        <is>
          <t>elcomercio.pe</t>
        </is>
      </c>
      <c r="D43" s="16" t="inlineStr">
        <is>
          <t>Banco de Credito del Peru (BCP)</t>
        </is>
      </c>
      <c r="E43" s="17" t="inlineStr">
        <is>
          <t>DNI electrónico GRATIS en Julio 2024: Hasta cuándo es la campaña de Reniec y cómo acceder</t>
        </is>
      </c>
      <c r="F43" s="19" t="inlineStr">
        <is>
          <t>Z_no_relevante</t>
        </is>
      </c>
      <c r="G43" s="19" t="n"/>
      <c r="H43" s="20" t="n"/>
      <c r="I43" s="19" t="n"/>
      <c r="J43" s="18" t="inlineStr">
        <is>
          <t>https://elcomercio.pe/respuestas/donde/dni-electronico-gratis-julio-2024-mira-en-que-distritos-de-lima-hay-campana-fechas-horarios-y-requisitos-reniec-tdpe-noticia/</t>
        </is>
      </c>
    </row>
    <row r="44" ht="28.05" customHeight="1">
      <c r="A44" s="15" t="n">
        <v>43</v>
      </c>
      <c r="B44" s="15" t="inlineStr">
        <is>
          <t>2025-02-26</t>
        </is>
      </c>
      <c r="C44" s="16" t="inlineStr">
        <is>
          <t>gestion.pe</t>
        </is>
      </c>
      <c r="D44" s="16" t="inlineStr">
        <is>
          <t>InRetail Peru Corp</t>
        </is>
      </c>
      <c r="E44" s="17" t="inlineStr">
        <is>
          <t>Minsa promoverá renovación en 11 hospitales “centenarios” en Perú</t>
        </is>
      </c>
      <c r="F44" s="19" t="inlineStr">
        <is>
          <t>Z_no_relevante</t>
        </is>
      </c>
      <c r="G44" s="19" t="n"/>
      <c r="H44" s="20" t="n"/>
      <c r="I44" s="19" t="n"/>
      <c r="J44" s="18" t="inlineStr">
        <is>
          <t>https://gestion.pe/economia/ministerio-de-salud-avanzara-con-inversiones-en-hospitales-emblematicos-hospitales-en-peru-infraestructura-hospitalaria-noticia/</t>
        </is>
      </c>
    </row>
    <row r="45" ht="28.05" customHeight="1">
      <c r="A45" s="15" t="n">
        <v>44</v>
      </c>
      <c r="B45" s="15" t="inlineStr">
        <is>
          <t>2019-03-27</t>
        </is>
      </c>
      <c r="C45" s="16" t="inlineStr">
        <is>
          <t>larepublica.pe</t>
        </is>
      </c>
      <c r="D45" s="16" t="inlineStr">
        <is>
          <t>Banco de Credito del Peru (BCP)</t>
        </is>
      </c>
      <c r="E45" s="17" t="inlineStr">
        <is>
          <t>Mercado Libre: ¿cómo comprar o vender y cuáles son los beneficios de usar la tienda online?</t>
        </is>
      </c>
      <c r="F45" s="19" t="inlineStr">
        <is>
          <t>Z_no_relevante</t>
        </is>
      </c>
      <c r="G45" s="19" t="n"/>
      <c r="H45" s="20" t="n"/>
      <c r="I45" s="19" t="n"/>
      <c r="J45" s="18" t="n"/>
    </row>
    <row r="46" ht="28.05" customHeight="1">
      <c r="A46" s="15" t="n">
        <v>45</v>
      </c>
      <c r="B46" s="15" t="inlineStr">
        <is>
          <t>2021-06-27</t>
        </is>
      </c>
      <c r="C46" s="16" t="inlineStr">
        <is>
          <t>gestion.pe</t>
        </is>
      </c>
      <c r="D46" s="16" t="inlineStr">
        <is>
          <t>Banco de Credito del Peru (BCP)</t>
        </is>
      </c>
      <c r="E46" s="17" t="inlineStr">
        <is>
          <t>Retiro de AFP: ¿Puedo retirar los S/ 17,600 si no tengo cuenta en un banco?</t>
        </is>
      </c>
      <c r="F46" s="19" t="inlineStr">
        <is>
          <t>Z_mencion_incidental</t>
        </is>
      </c>
      <c r="G46" s="19" t="n"/>
      <c r="H46" s="20" t="n"/>
      <c r="I46" s="19" t="inlineStr">
        <is>
          <t>Retiro de AFP con la banca como canal.</t>
        </is>
      </c>
      <c r="J46" s="18" t="inlineStr">
        <is>
          <t>https://gestion.pe/tu-dinero/finanzas-personales/retiro-de-afp-puedo-retirar-los-s-17600-si-no-tengo-cuenta-en-un-banco-nndc-noticia/</t>
        </is>
      </c>
    </row>
    <row r="47" ht="28.05" customHeight="1">
      <c r="A47" s="15" t="n">
        <v>46</v>
      </c>
      <c r="B47" s="15" t="inlineStr">
        <is>
          <t>2022-10-05</t>
        </is>
      </c>
      <c r="C47" s="16" t="inlineStr">
        <is>
          <t>gestion.pe</t>
        </is>
      </c>
      <c r="D47" s="16" t="inlineStr">
        <is>
          <t>Aceros Arequipa</t>
        </is>
      </c>
      <c r="E47" s="17" t="inlineStr">
        <is>
          <t>Bolsa de Valores de Lima cierra sin variación ante expectativas de aumentos en las tasas de interés de la FED</t>
        </is>
      </c>
      <c r="F47" s="19" t="inlineStr">
        <is>
          <t>Z_indice_bursatil</t>
        </is>
      </c>
      <c r="G47" s="19" t="n"/>
      <c r="H47" s="20" t="n"/>
      <c r="I47" s="19" t="n"/>
      <c r="J47" s="18" t="inlineStr">
        <is>
          <t>https://gestion.pe/economia/mercados/bolsa-de-valores-de-lima-cierra-sin-variacion-ante-expectativas-de-aumentos-en-las-tasas-de-interes-de-la-fed-rmmn-noticia/</t>
        </is>
      </c>
    </row>
    <row r="48" ht="28.05" customHeight="1">
      <c r="A48" s="15" t="n">
        <v>47</v>
      </c>
      <c r="B48" s="15" t="inlineStr">
        <is>
          <t>2015-08-26</t>
        </is>
      </c>
      <c r="C48" s="16" t="inlineStr">
        <is>
          <t>gestion.pe</t>
        </is>
      </c>
      <c r="D48" s="16" t="inlineStr">
        <is>
          <t>Alicorp</t>
        </is>
      </c>
      <c r="E48" s="17" t="inlineStr">
        <is>
          <t>Comisión de Economía aprueba exonerar de IR a ganancias de capital y dólar supera barrera de los S/.3.30</t>
        </is>
      </c>
      <c r="F48" s="19" t="inlineStr">
        <is>
          <t>Z_sector_macro</t>
        </is>
      </c>
      <c r="G48" s="19" t="n"/>
      <c r="H48" s="20" t="n"/>
      <c r="I48" s="19" t="inlineStr">
        <is>
          <t>Tributacion de ganancias de capital y tipo de cambio.</t>
        </is>
      </c>
      <c r="J48" s="18" t="inlineStr">
        <is>
          <t>http://gestion.pe/economia/comision-economia-aprueba-exonerar-ir-ganancias-capital-y-dolar-supera-barrera-s330-2141030</t>
        </is>
      </c>
    </row>
    <row r="49" ht="28.05" customHeight="1">
      <c r="A49" s="15" t="n">
        <v>48</v>
      </c>
      <c r="B49" s="15" t="inlineStr">
        <is>
          <t>2019-03-27</t>
        </is>
      </c>
      <c r="C49" s="16" t="inlineStr">
        <is>
          <t>larepublica.pe</t>
        </is>
      </c>
      <c r="D49" s="16" t="inlineStr">
        <is>
          <t>Saga Falabella</t>
        </is>
      </c>
      <c r="E49" s="17" t="inlineStr">
        <is>
          <t>Huawei Watch GT Active Edition: probamos el smartwatch de Huawei y esto opinamos [VIDEO]</t>
        </is>
      </c>
      <c r="F49" s="19" t="inlineStr">
        <is>
          <t>Z_no_relevante</t>
        </is>
      </c>
      <c r="G49" s="19" t="n"/>
      <c r="H49" s="20" t="n"/>
      <c r="I49" s="19" t="n"/>
      <c r="J49" s="18" t="inlineStr">
        <is>
          <t>https://larepublica.pe/tecnologia/1438334-huawei-watch-gt-active-edition-probamos-smartwatch-huawei-opinamos-video-fotos-huawei-p30-huawei-p30-pro-precio-especificaciones-caracteristicas-huawei-watch-gt-elegant-edition</t>
        </is>
      </c>
    </row>
    <row r="50" ht="28.05" customHeight="1">
      <c r="A50" s="15" t="n">
        <v>49</v>
      </c>
      <c r="B50" s="15" t="inlineStr">
        <is>
          <t>2016-12-26</t>
        </is>
      </c>
      <c r="C50" s="16" t="inlineStr">
        <is>
          <t>elcomercio.pe</t>
        </is>
      </c>
      <c r="D50" s="16" t="inlineStr">
        <is>
          <t>Banco de Credito del Peru (BCP)</t>
        </is>
      </c>
      <c r="E50" s="17" t="inlineStr">
        <is>
          <t>2016: El crédito creció a ritmos históricamente bajos</t>
        </is>
      </c>
      <c r="F50" s="19" t="inlineStr">
        <is>
          <t>Z_sector_macro</t>
        </is>
      </c>
      <c r="G50" s="19" t="n"/>
      <c r="H50" s="20" t="n"/>
      <c r="I50" s="19" t="inlineStr">
        <is>
          <t>Crecimiento del credito, agregado del sector.</t>
        </is>
      </c>
      <c r="J50" s="18" t="inlineStr">
        <is>
          <t>http://elcomercio.pe/economia/dia-1/2016-credito-crecio-ritmos-historicamente-bajos-noticia-1956094</t>
        </is>
      </c>
    </row>
    <row r="51" ht="28.05" customHeight="1">
      <c r="A51" s="15" t="n">
        <v>50</v>
      </c>
      <c r="B51" s="15" t="inlineStr">
        <is>
          <t>2024-01-20</t>
        </is>
      </c>
      <c r="C51" s="16" t="inlineStr">
        <is>
          <t>gestion.pe</t>
        </is>
      </c>
      <c r="D51" s="16" t="inlineStr">
        <is>
          <t>Compania de Minas Buenaventura</t>
        </is>
      </c>
      <c r="E51" s="17" t="inlineStr">
        <is>
          <t>Accidente en mina Cobriza: minera asegura que rescate de trabajador sigue en marcha</t>
        </is>
      </c>
      <c r="F51" s="19" t="inlineStr">
        <is>
          <t>Z_no_relevante</t>
        </is>
      </c>
      <c r="G51" s="19" t="n"/>
      <c r="H51" s="20" t="inlineStr">
        <is>
          <t>x</t>
        </is>
      </c>
      <c r="I51" s="19" t="inlineStr">
        <is>
          <t>La mina Cobriza no es de Buenaventura (es de Doe Run). Un modelo que no sepa eso leeria A_crisis_evento_adverso.</t>
        </is>
      </c>
      <c r="J51" s="18" t="n"/>
    </row>
    <row r="52" ht="28.05" customHeight="1">
      <c r="A52" s="15" t="n">
        <v>51</v>
      </c>
      <c r="B52" s="15" t="inlineStr">
        <is>
          <t>2023-11-13</t>
        </is>
      </c>
      <c r="C52" s="16" t="inlineStr">
        <is>
          <t>gestion.pe</t>
        </is>
      </c>
      <c r="D52" s="16" t="inlineStr">
        <is>
          <t>Compania de Minas Buenaventura</t>
        </is>
      </c>
      <c r="E52" s="17" t="inlineStr">
        <is>
          <t>Bolsa de Valores de Lima cerró a la baja con los mercados atentos al dato de inflación de EE.UU.</t>
        </is>
      </c>
      <c r="F52" s="19" t="inlineStr">
        <is>
          <t>Z_indice_bursatil</t>
        </is>
      </c>
      <c r="G52" s="19" t="n"/>
      <c r="H52" s="20" t="n"/>
      <c r="I52" s="19" t="n"/>
      <c r="J52" s="18" t="inlineStr">
        <is>
          <t>https://gestion.pe/economia/mercados/bolsa-de-valores-de-lima-cerro-a-la-baja-con-los-mercados-atentos-al-dato-de-inflacion-de-eeuu-noticia/</t>
        </is>
      </c>
    </row>
    <row r="53" ht="28.05" customHeight="1">
      <c r="A53" s="15" t="n">
        <v>52</v>
      </c>
      <c r="B53" s="15" t="inlineStr">
        <is>
          <t>2022-12-13</t>
        </is>
      </c>
      <c r="C53" s="16" t="inlineStr">
        <is>
          <t>gestion.pe</t>
        </is>
      </c>
      <c r="D53" s="16" t="inlineStr">
        <is>
          <t>Alicorp</t>
        </is>
      </c>
      <c r="E53" s="17" t="inlineStr">
        <is>
          <t>Bolsa de Valores de Lima cierra a la baja en medio de un retroceso global del dólar</t>
        </is>
      </c>
      <c r="F53" s="19" t="inlineStr">
        <is>
          <t>Z_indice_bursatil</t>
        </is>
      </c>
      <c r="G53" s="19" t="n"/>
      <c r="H53" s="20" t="n"/>
      <c r="I53" s="19" t="n"/>
      <c r="J53" s="18" t="inlineStr">
        <is>
          <t>https://gestion.pe/economia/mercados/bolsa-de-valores-de-lima-cierra-a-la-baja-en-medio-de-un-retroceso-global-del-dolar-rmmn-noticia/</t>
        </is>
      </c>
    </row>
    <row r="54" ht="28.05" customHeight="1">
      <c r="A54" s="15" t="n">
        <v>53</v>
      </c>
      <c r="B54" s="15" t="inlineStr">
        <is>
          <t>2013-08-12</t>
        </is>
      </c>
      <c r="C54" s="16" t="inlineStr">
        <is>
          <t>larepublica.pe</t>
        </is>
      </c>
      <c r="D54" s="16" t="inlineStr">
        <is>
          <t>Aceros Arequipa</t>
        </is>
      </c>
      <c r="E54" s="17" t="inlineStr">
        <is>
          <t>Minsa presentó denuncia contra presidente de la Federación Médica</t>
        </is>
      </c>
      <c r="F54" s="19" t="inlineStr">
        <is>
          <t>Z_no_relevante</t>
        </is>
      </c>
      <c r="G54" s="19" t="n"/>
      <c r="H54" s="20" t="n"/>
      <c r="I54" s="19" t="n"/>
      <c r="J54" s="18" t="inlineStr">
        <is>
          <t>http://www.larepublica.pe/12-08-2013/minsa-presento-denuncia-contra-presidente-de-la-federacion-medica</t>
        </is>
      </c>
    </row>
    <row r="55" ht="28.05" customHeight="1">
      <c r="A55" s="15" t="n">
        <v>54</v>
      </c>
      <c r="B55" s="15" t="inlineStr">
        <is>
          <t>2013-11-20</t>
        </is>
      </c>
      <c r="C55" s="16" t="inlineStr">
        <is>
          <t>larepublica.pe</t>
        </is>
      </c>
      <c r="D55" s="16" t="inlineStr">
        <is>
          <t>Minsur</t>
        </is>
      </c>
      <c r="E55" s="17" t="inlineStr">
        <is>
          <t>Mejoran ingresos de mineras durante el último trimestre</t>
        </is>
      </c>
      <c r="F55" s="19" t="inlineStr">
        <is>
          <t>Z_sector_macro</t>
        </is>
      </c>
      <c r="G55" s="19" t="n"/>
      <c r="H55" s="20" t="n"/>
      <c r="I55" s="19" t="inlineStr">
        <is>
          <t>Ingresos del sector minero en agregado.</t>
        </is>
      </c>
      <c r="J55" s="18" t="inlineStr">
        <is>
          <t>http://www.larepublica.pe/21-11-2013/mejoran-ingresos-de-mineras-durante-el-ultimo-trimestre</t>
        </is>
      </c>
    </row>
    <row r="56" ht="28.05" customHeight="1">
      <c r="A56" s="15" t="n">
        <v>55</v>
      </c>
      <c r="B56" s="15" t="inlineStr">
        <is>
          <t>2024-09-09</t>
        </is>
      </c>
      <c r="C56" s="16" t="inlineStr">
        <is>
          <t>larepublica.pe</t>
        </is>
      </c>
      <c r="D56" s="16" t="inlineStr">
        <is>
          <t>Minsur</t>
        </is>
      </c>
      <c r="E56" s="17" t="inlineStr">
        <is>
          <t>Expomina Perú 2024 reunirá a líderes mundiales de la minería</t>
        </is>
      </c>
      <c r="F56" s="19" t="inlineStr">
        <is>
          <t>Z_sector_macro</t>
        </is>
      </c>
      <c r="G56" s="19" t="n"/>
      <c r="H56" s="20" t="n"/>
      <c r="I56" s="19" t="inlineStr">
        <is>
          <t>Feria del sector.</t>
        </is>
      </c>
      <c r="J56" s="18" t="inlineStr">
        <is>
          <t>https://larepublica.pe/nota-de-prensa/2024/09/09/expomina-peru-2024-reunira-a-lideres-mundiales-de-la-mineria-319914</t>
        </is>
      </c>
    </row>
    <row r="57" ht="28.05" customHeight="1">
      <c r="A57" s="15" t="n">
        <v>56</v>
      </c>
      <c r="B57" s="15" t="inlineStr">
        <is>
          <t>2018-07-19</t>
        </is>
      </c>
      <c r="C57" s="16" t="inlineStr">
        <is>
          <t>gestion.pe</t>
        </is>
      </c>
      <c r="D57" s="16" t="inlineStr">
        <is>
          <t>Compania de Minas Buenaventura</t>
        </is>
      </c>
      <c r="E57" s="17" t="inlineStr">
        <is>
          <t>BVL baja 0.33 % y cierra en 19,965.79 puntos</t>
        </is>
      </c>
      <c r="F57" s="19" t="inlineStr">
        <is>
          <t>Z_indice_bursatil</t>
        </is>
      </c>
      <c r="G57" s="19" t="n"/>
      <c r="H57" s="20" t="n"/>
      <c r="I57" s="19" t="n"/>
      <c r="J57" s="18" t="inlineStr">
        <is>
          <t>http://gestion.pe/economia/mercados/bvl-baja-0-33-cierra-19-965-79-puntos-239025</t>
        </is>
      </c>
    </row>
    <row r="58" ht="28.05" customHeight="1">
      <c r="A58" s="15" t="n">
        <v>57</v>
      </c>
      <c r="B58" s="15" t="inlineStr">
        <is>
          <t>2022-10-07</t>
        </is>
      </c>
      <c r="C58" s="16" t="inlineStr">
        <is>
          <t>elcomercio.pe</t>
        </is>
      </c>
      <c r="D58" s="16" t="inlineStr">
        <is>
          <t>Luz del Sur</t>
        </is>
      </c>
      <c r="E58" s="17" t="inlineStr">
        <is>
          <t>CHorrillos: Nueve puestos de serenazgo no tienen personal a pesar del incremento de robos en el distrito</t>
        </is>
      </c>
      <c r="F58" s="19" t="inlineStr">
        <is>
          <t>Z_no_relevante</t>
        </is>
      </c>
      <c r="G58" s="19" t="n"/>
      <c r="H58" s="20" t="n"/>
      <c r="I58" s="19" t="n"/>
      <c r="J58" s="18" t="inlineStr">
        <is>
          <t>https://elcomercio.pe/lima/seguridad/casetas-de-chorrillos-recien-inauguradas-por-la-municipalidad-estan-abandonadas-noticia/</t>
        </is>
      </c>
    </row>
    <row r="59" ht="28.05" customHeight="1">
      <c r="A59" s="15" t="n">
        <v>58</v>
      </c>
      <c r="B59" s="15" t="inlineStr">
        <is>
          <t>2015-08-22</t>
        </is>
      </c>
      <c r="C59" s="16" t="inlineStr">
        <is>
          <t>larepublica.pe</t>
        </is>
      </c>
      <c r="D59" s="16" t="inlineStr">
        <is>
          <t>InRetail Peru Corp</t>
        </is>
      </c>
      <c r="E59" s="17" t="inlineStr">
        <is>
          <t>Ídolo coreano Kim Kyu Jong llega al Perú por primera vez</t>
        </is>
      </c>
      <c r="F59" s="19" t="inlineStr">
        <is>
          <t>Z_no_relevante</t>
        </is>
      </c>
      <c r="G59" s="19" t="n"/>
      <c r="H59" s="20" t="n"/>
      <c r="I59" s="19" t="n"/>
      <c r="J59" s="18" t="inlineStr">
        <is>
          <t>http://larepublica.pe/espectaculos/516034-idolo-coreano-kim-kyu-jong-llega-al-peru-por-primera-vez</t>
        </is>
      </c>
    </row>
    <row r="60" ht="28.05" customHeight="1">
      <c r="A60" s="15" t="n">
        <v>59</v>
      </c>
      <c r="B60" s="15" t="inlineStr">
        <is>
          <t>2021-08-10</t>
        </is>
      </c>
      <c r="C60" s="16" t="inlineStr">
        <is>
          <t>elcomercio.pe</t>
        </is>
      </c>
      <c r="D60" s="16" t="inlineStr">
        <is>
          <t>Banco de Credito del Peru (BCP)</t>
        </is>
      </c>
      <c r="E60" s="17" t="inlineStr">
        <is>
          <t>Bolsa de Valores de Lima | BVL cierra a la baja por caída de acciones de los sectores construcción y minería</t>
        </is>
      </c>
      <c r="F60" s="19" t="inlineStr">
        <is>
          <t>Z_indice_bursatil</t>
        </is>
      </c>
      <c r="G60" s="19" t="n"/>
      <c r="H60" s="20" t="n"/>
      <c r="I60" s="19" t="n"/>
      <c r="J60" s="18" t="inlineStr">
        <is>
          <t>https://elcomercio.pe/economia/mercados/bolsa-de-valores-de-lima-bvl-cierra-a-la-baja-por-caida-de-acciones-de-los-sectores-construccion-y-mineria-nndc-noticia/</t>
        </is>
      </c>
    </row>
    <row r="61" ht="28.05" customHeight="1">
      <c r="A61" s="15" t="n">
        <v>60</v>
      </c>
      <c r="B61" s="15" t="inlineStr">
        <is>
          <t>2022-07-25</t>
        </is>
      </c>
      <c r="C61" s="16" t="inlineStr">
        <is>
          <t>gestion.pe</t>
        </is>
      </c>
      <c r="D61" s="16" t="inlineStr">
        <is>
          <t>Compania de Minas Buenaventura</t>
        </is>
      </c>
      <c r="E61" s="17" t="inlineStr">
        <is>
          <t>Bolsa de Valores de Lima cerró a la baja arrastrada por sectores de construcción y minería</t>
        </is>
      </c>
      <c r="F61" s="19" t="inlineStr">
        <is>
          <t>Z_indice_bursatil</t>
        </is>
      </c>
      <c r="G61" s="19" t="n"/>
      <c r="H61" s="20" t="n"/>
      <c r="I61" s="19" t="n"/>
      <c r="J61" s="18" t="n"/>
    </row>
    <row r="62" ht="28.05" customHeight="1">
      <c r="A62" s="15" t="n">
        <v>61</v>
      </c>
      <c r="B62" s="15" t="inlineStr">
        <is>
          <t>2023-04-24</t>
        </is>
      </c>
      <c r="C62" s="16" t="inlineStr">
        <is>
          <t>elcomercio.pe</t>
        </is>
      </c>
      <c r="D62" s="16" t="inlineStr">
        <is>
          <t>Ferreycorp</t>
        </is>
      </c>
      <c r="E62" s="17" t="inlineStr">
        <is>
          <t>Ferreycorp y sus empresas firman primer Acuerdo de Producción Limpia en el mercado de maquinaria</t>
        </is>
      </c>
      <c r="F62" s="19" t="inlineStr">
        <is>
          <t>Z_patrocinio_rse</t>
        </is>
      </c>
      <c r="G62" s="19" t="n"/>
      <c r="H62" s="20" t="inlineStr">
        <is>
          <t>x</t>
        </is>
      </c>
      <c r="I62" s="19" t="inlineStr">
        <is>
          <t>Acuerdo de Produccion Limpia: compromiso ambiental voluntario. Alternativa: B_operacional.</t>
        </is>
      </c>
      <c r="J62" s="18" t="inlineStr">
        <is>
          <t>https://elcomercio.pe/economia/negocios/ferreycorp-y-sus-empresas-firman-primer-acuerdo-de-produccion-limpia-en-el-mercado-de-maquinaria-noticia/</t>
        </is>
      </c>
    </row>
    <row r="63" ht="28.05" customHeight="1">
      <c r="A63" s="15" t="n">
        <v>62</v>
      </c>
      <c r="B63" s="15" t="inlineStr">
        <is>
          <t>2024-11-26</t>
        </is>
      </c>
      <c r="C63" s="16" t="inlineStr">
        <is>
          <t>gestion.pe</t>
        </is>
      </c>
      <c r="D63" s="16" t="inlineStr">
        <is>
          <t>Minsur</t>
        </is>
      </c>
      <c r="E63" s="17" t="inlineStr">
        <is>
          <t>Minsur, del Grupo Breca, acuerda la venta de su operación minera en Brasil</t>
        </is>
      </c>
      <c r="F63" s="19" t="inlineStr">
        <is>
          <t>A_ma_reestructuracion</t>
        </is>
      </c>
      <c r="G63" s="19" t="inlineStr">
        <is>
          <t>neutral</t>
        </is>
      </c>
      <c r="H63" s="20" t="n"/>
      <c r="I63" s="19" t="inlineStr">
        <is>
          <t>Venta de la operacion en Brasil.</t>
        </is>
      </c>
      <c r="J63" s="18" t="inlineStr">
        <is>
          <t>https://gestion.pe/economia/empresas/minsur-del-grupo-breca-acuerda-la-venta-de-su-operacion-minera-en-brasil-empresas-mineria-breca-estano-plata-inversion-minera-taboca-noticia/</t>
        </is>
      </c>
    </row>
    <row r="64" ht="28.05" customHeight="1">
      <c r="A64" s="15" t="n">
        <v>63</v>
      </c>
      <c r="B64" s="15" t="inlineStr">
        <is>
          <t>2021-11-11</t>
        </is>
      </c>
      <c r="C64" s="16" t="inlineStr">
        <is>
          <t>gestion.pe</t>
        </is>
      </c>
      <c r="D64" s="16" t="inlineStr">
        <is>
          <t>Banco de Credito del Peru (BCP)</t>
        </is>
      </c>
      <c r="E64" s="17" t="inlineStr">
        <is>
          <t>Bolsa de Valores de Lima rebota en la apertura tras repunte del sector minero</t>
        </is>
      </c>
      <c r="F64" s="19" t="inlineStr">
        <is>
          <t>Z_indice_bursatil</t>
        </is>
      </c>
      <c r="G64" s="19" t="n"/>
      <c r="H64" s="20" t="n"/>
      <c r="I64" s="19" t="n"/>
      <c r="J64" s="18" t="inlineStr">
        <is>
          <t>https://gestion.pe/economia/mercados/bvl-bolsa-de-valores-de-lima-rebota-en-la-apertura-tras-repunte-del-sector-minero-nndc-noticia/</t>
        </is>
      </c>
    </row>
    <row r="65" ht="28.05" customHeight="1">
      <c r="A65" s="15" t="n">
        <v>64</v>
      </c>
      <c r="B65" s="15" t="inlineStr">
        <is>
          <t>2017-11-29</t>
        </is>
      </c>
      <c r="C65" s="16" t="inlineStr">
        <is>
          <t>gestion.pe</t>
        </is>
      </c>
      <c r="D65" s="16" t="inlineStr">
        <is>
          <t>Saga Falabella</t>
        </is>
      </c>
      <c r="E65" s="17" t="inlineStr">
        <is>
          <t>Amazon se aproxima: ¿Cómo cambiaría el comercio en los grandes almacenes peruanos?</t>
        </is>
      </c>
      <c r="F65" s="19" t="inlineStr">
        <is>
          <t>Z_sector_macro</t>
        </is>
      </c>
      <c r="G65" s="19" t="n"/>
      <c r="H65" s="20" t="inlineStr">
        <is>
          <t>x</t>
        </is>
      </c>
      <c r="I65" s="19" t="inlineStr">
        <is>
          <t>Entrada de Amazon: dinamica competitiva del retail.</t>
        </is>
      </c>
      <c r="J65" s="18" t="n"/>
    </row>
    <row r="66" ht="28.05" customHeight="1">
      <c r="A66" s="15" t="n">
        <v>65</v>
      </c>
      <c r="B66" s="15" t="inlineStr">
        <is>
          <t>2025-12-29</t>
        </is>
      </c>
      <c r="C66" s="16" t="inlineStr">
        <is>
          <t>gestion.pe</t>
        </is>
      </c>
      <c r="D66" s="16" t="inlineStr">
        <is>
          <t>Minsur</t>
        </is>
      </c>
      <c r="E66" s="17" t="inlineStr">
        <is>
          <t>Las 40 empresas con mayor reparto de utilidades a trabajadores este 2025: abonaron 18 sueldos</t>
        </is>
      </c>
      <c r="F66" s="19" t="inlineStr">
        <is>
          <t>Z_mencion_incidental</t>
        </is>
      </c>
      <c r="G66" s="19" t="n"/>
      <c r="H66" s="20" t="n"/>
      <c r="I66" s="19" t="inlineStr">
        <is>
          <t>Ranking de reparto de utilidades.</t>
        </is>
      </c>
      <c r="J66" s="18" t="inlineStr">
        <is>
          <t>https://gestion.pe/economia/management-empleo/las-40-empresas-con-mayor-reparto-de-utilidades-a-trabajadores-este-2025-abonaron-18-sueldos-noticia/</t>
        </is>
      </c>
    </row>
    <row r="67" ht="28.05" customHeight="1">
      <c r="A67" s="15" t="n">
        <v>66</v>
      </c>
      <c r="B67" s="15" t="inlineStr">
        <is>
          <t>2018-12-06</t>
        </is>
      </c>
      <c r="C67" s="16" t="inlineStr">
        <is>
          <t>elcomercio.pe</t>
        </is>
      </c>
      <c r="D67" s="16" t="inlineStr">
        <is>
          <t>InRetail Peru Corp</t>
        </is>
      </c>
      <c r="E67" s="17" t="inlineStr">
        <is>
          <t>¿No sabes qué regalar a tu amigo secreto? Estos son las opciones más curiosas para esta Navidad</t>
        </is>
      </c>
      <c r="F67" s="19" t="inlineStr">
        <is>
          <t>Z_no_relevante</t>
        </is>
      </c>
      <c r="G67" s="19" t="n"/>
      <c r="H67" s="20" t="n"/>
      <c r="I67" s="19" t="n"/>
      <c r="J67" s="18" t="inlineStr">
        <is>
          <t>http://elcomercio.pe/somos/historias/navidad-2018-novedosas-opciones-sorprender-amigo-secreto-fiestas-noticia-580568</t>
        </is>
      </c>
    </row>
    <row r="68" ht="28.05" customHeight="1">
      <c r="A68" s="15" t="n">
        <v>67</v>
      </c>
      <c r="B68" s="15" t="inlineStr">
        <is>
          <t>2018-03-07</t>
        </is>
      </c>
      <c r="C68" s="16" t="inlineStr">
        <is>
          <t>elcomercio.pe</t>
        </is>
      </c>
      <c r="D68" s="16" t="inlineStr">
        <is>
          <t>Ferreycorp</t>
        </is>
      </c>
      <c r="E68" s="17" t="inlineStr">
        <is>
          <t>¿Cómo rentabilizar el dinero recibido por las utilidades?</t>
        </is>
      </c>
      <c r="F68" s="19" t="inlineStr">
        <is>
          <t>Z_no_relevante</t>
        </is>
      </c>
      <c r="G68" s="19" t="n"/>
      <c r="H68" s="20" t="n"/>
      <c r="I68" s="19" t="n"/>
      <c r="J68" s="18" t="inlineStr">
        <is>
          <t>http://elcomercio.pe/economia/personal/utilidades-rentabilizar-dinero-recibido-noticia-502437</t>
        </is>
      </c>
    </row>
    <row r="69" ht="28.05" customHeight="1">
      <c r="A69" s="15" t="n">
        <v>68</v>
      </c>
      <c r="B69" s="15" t="inlineStr">
        <is>
          <t>2024-12-11</t>
        </is>
      </c>
      <c r="C69" s="16" t="inlineStr">
        <is>
          <t>gestion.pe</t>
        </is>
      </c>
      <c r="D69" s="16" t="inlineStr">
        <is>
          <t>Minsur</t>
        </is>
      </c>
      <c r="E69" s="17" t="inlineStr">
        <is>
          <t>Acciones de BVL con descuentos, ¿cuáles están más baratas?</t>
        </is>
      </c>
      <c r="F69" s="19" t="inlineStr">
        <is>
          <t>Z_indice_bursatil</t>
        </is>
      </c>
      <c r="G69" s="19" t="n"/>
      <c r="H69" s="20" t="inlineStr">
        <is>
          <t>x</t>
        </is>
      </c>
      <c r="I69" s="19" t="inlineStr">
        <is>
          <t>Analisis de valorizaciones del conjunto sin nombrar a la empresa. Se mantiene en Z: C_analisis_opinion exige que el titular nombre a la empresa como objeto del juicio (contraste con la fila 227). Discutida con el usuario.</t>
        </is>
      </c>
      <c r="J69" s="18" t="inlineStr">
        <is>
          <t>https://gestion.pe/tu-dinero/bvl-acciones-con-descuentos-cuales-estan-mas-baratas-noticia/</t>
        </is>
      </c>
    </row>
    <row r="70" ht="28.05" customHeight="1">
      <c r="A70" s="15" t="n">
        <v>69</v>
      </c>
      <c r="B70" s="15" t="inlineStr">
        <is>
          <t>2022-06-06</t>
        </is>
      </c>
      <c r="C70" s="16" t="inlineStr">
        <is>
          <t>gestion.pe</t>
        </is>
      </c>
      <c r="D70" s="16" t="inlineStr">
        <is>
          <t>Banco de Credito del Peru (BCP)</t>
        </is>
      </c>
      <c r="E70" s="17" t="inlineStr">
        <is>
          <t>Banca se vuelve más agresiva para captar clientes con cuentas sueldo</t>
        </is>
      </c>
      <c r="F70" s="19" t="inlineStr">
        <is>
          <t>Z_sector_macro</t>
        </is>
      </c>
      <c r="G70" s="19" t="n"/>
      <c r="H70" s="20" t="n"/>
      <c r="I70" s="19" t="inlineStr">
        <is>
          <t>Competencia por cuentas sueldo en la banca.</t>
        </is>
      </c>
      <c r="J70" s="18" t="inlineStr">
        <is>
          <t>https://gestion.pe/tu-dinero/banca-se-vuelve-mas-agresiva-para-captar-clientes-con-cuentas-sueldo-tu-dinero-noticia/</t>
        </is>
      </c>
    </row>
    <row r="71" ht="28.05" customHeight="1">
      <c r="A71" s="15" t="n">
        <v>70</v>
      </c>
      <c r="B71" s="15" t="inlineStr">
        <is>
          <t>2021-01-22</t>
        </is>
      </c>
      <c r="C71" s="16" t="inlineStr">
        <is>
          <t>larepublica.pe</t>
        </is>
      </c>
      <c r="D71" s="16" t="inlineStr">
        <is>
          <t>Luz del Sur</t>
        </is>
      </c>
      <c r="E71" s="17" t="inlineStr">
        <is>
          <t>Operadores del sistema eléctrico se molestan porque les piden que cumplan con sentencia de la Suprema</t>
        </is>
      </c>
      <c r="F71" s="19" t="inlineStr">
        <is>
          <t>A_regulatorio_material</t>
        </is>
      </c>
      <c r="G71" s="19" t="inlineStr">
        <is>
          <t>negativo</t>
        </is>
      </c>
      <c r="H71" s="20" t="inlineStr">
        <is>
          <t>x</t>
        </is>
      </c>
      <c r="I71" s="19" t="inlineStr">
        <is>
          <t>Sentencia de la Corte Suprema sobre operadores electricos: su objeto es el negocio de distribucion. Familia con 214 y 499.</t>
        </is>
      </c>
      <c r="J71" s="18" t="inlineStr">
        <is>
          <t>https://larepublica.pe/economia/2021/01/22/operadores-del-sistema-electrico-se-molestan-porque-les-piden-que-cumplan-con-sentencia-de-la-suprema/</t>
        </is>
      </c>
    </row>
    <row r="72" ht="28.05" customHeight="1">
      <c r="A72" s="15" t="n">
        <v>71</v>
      </c>
      <c r="B72" s="15" t="inlineStr">
        <is>
          <t>2024-07-26</t>
        </is>
      </c>
      <c r="C72" s="16" t="inlineStr">
        <is>
          <t>gestion.pe</t>
        </is>
      </c>
      <c r="D72" s="16" t="inlineStr">
        <is>
          <t>Ferreycorp</t>
        </is>
      </c>
      <c r="E72" s="17" t="inlineStr">
        <is>
          <t>BVL: Hay acciones castigadas con descuentos de en torno al 20%</t>
        </is>
      </c>
      <c r="F72" s="19" t="inlineStr">
        <is>
          <t>Z_indice_bursatil</t>
        </is>
      </c>
      <c r="G72" s="19" t="n"/>
      <c r="H72" s="20" t="n"/>
      <c r="I72" s="19" t="n"/>
      <c r="J72" s="18" t="inlineStr">
        <is>
          <t>https://gestion.pe/tu-dinero/bvl-hay-acciones-castigadas-con-descuentos-de-en-torno-al-20-noticia/</t>
        </is>
      </c>
    </row>
    <row r="73" ht="28.05" customHeight="1">
      <c r="A73" s="15" t="n">
        <v>72</v>
      </c>
      <c r="B73" s="15" t="inlineStr">
        <is>
          <t>2018-05-03</t>
        </is>
      </c>
      <c r="C73" s="16" t="inlineStr">
        <is>
          <t>gestion.pe</t>
        </is>
      </c>
      <c r="D73" s="16" t="inlineStr">
        <is>
          <t>Banco de Credito del Peru (BCP)</t>
        </is>
      </c>
      <c r="E73" s="17" t="inlineStr">
        <is>
          <t>BVL: Índice clave cierra con mayor caída de seis semanas</t>
        </is>
      </c>
      <c r="F73" s="19" t="inlineStr">
        <is>
          <t>Z_indice_bursatil</t>
        </is>
      </c>
      <c r="G73" s="19" t="n"/>
      <c r="H73" s="20" t="n"/>
      <c r="I73" s="19" t="n"/>
      <c r="J73" s="18" t="inlineStr">
        <is>
          <t>http://gestion.pe/economia/mercados/bvl-indice-clave-cierra-mayor-caida-seis-semanas-232876</t>
        </is>
      </c>
    </row>
    <row r="74" ht="28.05" customHeight="1">
      <c r="A74" s="15" t="n">
        <v>73</v>
      </c>
      <c r="B74" s="15" t="inlineStr">
        <is>
          <t>2024-02-01</t>
        </is>
      </c>
      <c r="C74" s="16" t="inlineStr">
        <is>
          <t>gestion.pe</t>
        </is>
      </c>
      <c r="D74" s="16" t="inlineStr">
        <is>
          <t>InRetail Peru Corp</t>
        </is>
      </c>
      <c r="E74" s="17" t="inlineStr">
        <is>
          <t>Inteligencia artificial | chatGPT | algoritmos | credicorp | autos autonomos | Generación IA: Tres peruanos que entrenan los algoritmos del mañana</t>
        </is>
      </c>
      <c r="F74" s="19" t="inlineStr">
        <is>
          <t>Z_no_relevante</t>
        </is>
      </c>
      <c r="G74" s="19" t="n"/>
      <c r="H74" s="20" t="n"/>
      <c r="I74" s="19" t="n"/>
      <c r="J74" s="18" t="inlineStr">
        <is>
          <t>https://gestion.pe/tecnologia/inteligencia-artificial-chatgpt-algoritmos-credicorp-autos-autonomos-generacion-ia-tres-peruanos-que-entrenan-los-algoritmos-del-manana-g-de-gestion-noticia/</t>
        </is>
      </c>
    </row>
    <row r="75" ht="28.05" customHeight="1">
      <c r="A75" s="15" t="n">
        <v>74</v>
      </c>
      <c r="B75" s="15" t="inlineStr">
        <is>
          <t>2025-09-29</t>
        </is>
      </c>
      <c r="C75" s="16" t="inlineStr">
        <is>
          <t>larepublica.pe</t>
        </is>
      </c>
      <c r="D75" s="16" t="inlineStr">
        <is>
          <t>InRetail Peru Corp</t>
        </is>
      </c>
      <c r="E75" s="17" t="inlineStr">
        <is>
          <t>Habla familia de policía asesinado que investigó al 'Monstruo' en 2024: "Que sufra como nosotros"</t>
        </is>
      </c>
      <c r="F75" s="19" t="inlineStr">
        <is>
          <t>Z_no_relevante</t>
        </is>
      </c>
      <c r="G75" s="19" t="n"/>
      <c r="H75" s="20" t="n"/>
      <c r="I75" s="19" t="n"/>
      <c r="J75" s="18" t="inlineStr">
        <is>
          <t>https://larepublica.pe/sociedad/2025/09/29/habla-familia-del-policia-asesinado-que-investigo-al-monstruo-en-2024-que-sufra-como-nosotros-sufrimos-857675</t>
        </is>
      </c>
    </row>
    <row r="76" ht="28.05" customHeight="1">
      <c r="A76" s="15" t="n">
        <v>75</v>
      </c>
      <c r="B76" s="15" t="inlineStr">
        <is>
          <t>2014-09-17</t>
        </is>
      </c>
      <c r="C76" s="16" t="inlineStr">
        <is>
          <t>elcomercio.pe</t>
        </is>
      </c>
      <c r="D76" s="16" t="inlineStr">
        <is>
          <t>Saga Falabella</t>
        </is>
      </c>
      <c r="E76" s="17" t="inlineStr">
        <is>
          <t>Sodimac adquirió a su competidora Maestro por S/.1.404 millones</t>
        </is>
      </c>
      <c r="F76" s="19" t="inlineStr">
        <is>
          <t>A_ma_reestructuracion</t>
        </is>
      </c>
      <c r="G76" s="19" t="inlineStr">
        <is>
          <t>neutral</t>
        </is>
      </c>
      <c r="H76" s="20" t="n"/>
      <c r="I76" s="19" t="inlineStr">
        <is>
          <t>Sodimac (grupo Falabella) compra Maestro. Misma noticia que la fila 191.</t>
        </is>
      </c>
      <c r="J76" s="18" t="n"/>
    </row>
    <row r="77" ht="28.05" customHeight="1">
      <c r="A77" s="15" t="n">
        <v>76</v>
      </c>
      <c r="B77" s="15" t="inlineStr">
        <is>
          <t>2022-08-04</t>
        </is>
      </c>
      <c r="C77" s="16" t="inlineStr">
        <is>
          <t>larepublica.pe</t>
        </is>
      </c>
      <c r="D77" s="16" t="inlineStr">
        <is>
          <t>Saga Falabella</t>
        </is>
      </c>
      <c r="E77" s="17" t="inlineStr">
        <is>
          <t>Saga Falabella y La Curacao deben compensar a clientes que compraron electrodomésticos a menos de S/ 1</t>
        </is>
      </c>
      <c r="F77" s="19" t="inlineStr">
        <is>
          <t>A_crisis_evento_adverso</t>
        </is>
      </c>
      <c r="G77" s="19" t="inlineStr">
        <is>
          <t>negativo</t>
        </is>
      </c>
      <c r="H77" s="20" t="n"/>
      <c r="I77" s="19" t="inlineStr">
        <is>
          <t>Orden de compensar a clientes.</t>
        </is>
      </c>
      <c r="J77" s="18" t="inlineStr">
        <is>
          <t>https://larepublica.pe/economia/2022/08/04/saga-falabella-y-la-curacao-deben-compensar-a-clientes-que-compraron-electrodomesticos-a-menos-de-s-1-ofertas-fiestas-patrias-cyber-days/</t>
        </is>
      </c>
    </row>
    <row r="78" ht="28.05" customHeight="1">
      <c r="A78" s="15" t="n">
        <v>77</v>
      </c>
      <c r="B78" s="15" t="inlineStr">
        <is>
          <t>2025-09-28</t>
        </is>
      </c>
      <c r="C78" s="16" t="inlineStr">
        <is>
          <t>larepublica.pe</t>
        </is>
      </c>
      <c r="D78" s="16" t="inlineStr">
        <is>
          <t>Minsur</t>
        </is>
      </c>
      <c r="E78" s="17" t="inlineStr">
        <is>
          <t>Chile, Perú y Colombia afrontarán riesgos fiscales y políticos de cara a 2026</t>
        </is>
      </c>
      <c r="F78" s="19" t="inlineStr">
        <is>
          <t>Z_sector_macro</t>
        </is>
      </c>
      <c r="G78" s="19" t="n"/>
      <c r="H78" s="20" t="n"/>
      <c r="I78" s="19" t="n"/>
      <c r="J78" s="18" t="inlineStr">
        <is>
          <t>https://larepublica.pe/economia/2025/09/28/chile-peru-y-colombia-afrontaran-riesgos-fiscales-y-politicos-de-cara-a-2026-hnews-1694871</t>
        </is>
      </c>
    </row>
    <row r="79" ht="28.05" customHeight="1">
      <c r="A79" s="15" t="n">
        <v>78</v>
      </c>
      <c r="B79" s="15" t="inlineStr">
        <is>
          <t>2018-03-23</t>
        </is>
      </c>
      <c r="C79" s="16" t="inlineStr">
        <is>
          <t>gestion.pe</t>
        </is>
      </c>
      <c r="D79" s="16" t="inlineStr">
        <is>
          <t>Cementos Pacasmayo</t>
        </is>
      </c>
      <c r="E79" s="17" t="inlineStr">
        <is>
          <t>BVL cierra con índices mixtos, suben acciones de construcción por nuevo gobierno</t>
        </is>
      </c>
      <c r="F79" s="19" t="inlineStr">
        <is>
          <t>Z_indice_bursatil</t>
        </is>
      </c>
      <c r="G79" s="19" t="n"/>
      <c r="H79" s="20" t="n"/>
      <c r="I79" s="19" t="n"/>
      <c r="J79" s="18" t="inlineStr">
        <is>
          <t>http://gestion.pe/economia/mercados/bvl-cierra-indices-mixtos-suben-acciones-construccion-nuevo-gobierno-230116</t>
        </is>
      </c>
    </row>
    <row r="80" ht="28.05" customHeight="1">
      <c r="A80" s="15" t="n">
        <v>79</v>
      </c>
      <c r="B80" s="15" t="inlineStr">
        <is>
          <t>2022-11-17</t>
        </is>
      </c>
      <c r="C80" s="16" t="inlineStr">
        <is>
          <t>gestion.pe</t>
        </is>
      </c>
      <c r="D80" s="16" t="inlineStr">
        <is>
          <t>InRetail Peru Corp</t>
        </is>
      </c>
      <c r="E80" s="17" t="inlineStr">
        <is>
          <t>Malls del interior del país concentrarán más del 65% de nueva área por ampliaciones en el 2023</t>
        </is>
      </c>
      <c r="F80" s="19" t="inlineStr">
        <is>
          <t>Z_sector_macro</t>
        </is>
      </c>
      <c r="G80" s="19" t="n"/>
      <c r="H80" s="20" t="n"/>
      <c r="I80" s="19" t="inlineStr">
        <is>
          <t>Expansion de area comercial en el sector malls.</t>
        </is>
      </c>
      <c r="J80" s="18" t="inlineStr">
        <is>
          <t>https://gestion.pe/economia/empresas/centros-comerciales-sumaran-mas-de-20000-m2-por-ampliaciones-en-el-2023-noticia/</t>
        </is>
      </c>
    </row>
    <row r="81" ht="28.05" customHeight="1">
      <c r="A81" s="15" t="n">
        <v>80</v>
      </c>
      <c r="B81" s="15" t="inlineStr">
        <is>
          <t>2025-10-22</t>
        </is>
      </c>
      <c r="C81" s="16" t="inlineStr">
        <is>
          <t>gestion.pe</t>
        </is>
      </c>
      <c r="D81" s="16" t="inlineStr">
        <is>
          <t>Alicorp</t>
        </is>
      </c>
      <c r="E81" s="17" t="inlineStr">
        <is>
          <t>Utilidades de empresas líderes crecerían a menor ritmo del año: las 3 que más ganan</t>
        </is>
      </c>
      <c r="F81" s="19" t="inlineStr">
        <is>
          <t>Z_mencion_incidental</t>
        </is>
      </c>
      <c r="G81" s="19" t="n"/>
      <c r="H81" s="20" t="inlineStr">
        <is>
          <t>x</t>
        </is>
      </c>
      <c r="I81" s="19" t="inlineStr">
        <is>
          <t>Proyeccion de utilidades agregadas de la BVL; la empresa entra como parte del conjunto. Se mantiene en Z por la misma regla que la fila 68. Discutida con el usuario.</t>
        </is>
      </c>
      <c r="J81" s="18" t="inlineStr">
        <is>
          <t>https://gestion.pe/economia/mercados/bvl-utilidades-de-empresas-lideres-crecerian-a-menor-ritmo-del-ano-las-3-que-mas-ganan-noticia/</t>
        </is>
      </c>
    </row>
    <row r="82" ht="28.05" customHeight="1">
      <c r="A82" s="15" t="n">
        <v>81</v>
      </c>
      <c r="B82" s="15" t="inlineStr">
        <is>
          <t>2022-09-28</t>
        </is>
      </c>
      <c r="C82" s="16" t="inlineStr">
        <is>
          <t>gestion.pe</t>
        </is>
      </c>
      <c r="D82" s="16" t="inlineStr">
        <is>
          <t>Cementos Pacasmayo</t>
        </is>
      </c>
      <c r="E82" s="17" t="inlineStr">
        <is>
          <t>Bolsa de Valores de Lima cierra con ganancias mientras los temores a una recesión global se atenúan</t>
        </is>
      </c>
      <c r="F82" s="19" t="inlineStr">
        <is>
          <t>Z_indice_bursatil</t>
        </is>
      </c>
      <c r="G82" s="19" t="n"/>
      <c r="H82" s="20" t="n"/>
      <c r="I82" s="19" t="n"/>
      <c r="J82" s="18" t="inlineStr">
        <is>
          <t>https://gestion.pe/economia/mercados/bolsa-de-valores-de-lima-cierra-con-ganancias-mientras-los-temores-a-una-recesion-global-se-atenuan-rmmn-noticia/</t>
        </is>
      </c>
    </row>
    <row r="83" ht="28.05" customHeight="1">
      <c r="A83" s="15" t="n">
        <v>82</v>
      </c>
      <c r="B83" s="15" t="inlineStr">
        <is>
          <t>2024-11-01</t>
        </is>
      </c>
      <c r="C83" s="16" t="inlineStr">
        <is>
          <t>elcomercio.pe</t>
        </is>
      </c>
      <c r="D83" s="16" t="inlineStr">
        <is>
          <t>Banco de Credito del Peru (BCP)</t>
        </is>
      </c>
      <c r="E83" s="17" t="inlineStr">
        <is>
          <t>Dónde tramitar tu DNI electrónico durante todo noviembre 2024 en Perú</t>
        </is>
      </c>
      <c r="F83" s="19" t="inlineStr">
        <is>
          <t>Z_no_relevante</t>
        </is>
      </c>
      <c r="G83" s="19" t="n"/>
      <c r="H83" s="20" t="n"/>
      <c r="I83" s="19" t="n"/>
      <c r="J83" s="18" t="inlineStr">
        <is>
          <t>https://elcomercio.pe/respuestas/tramites/tramita-tu-dni-electronico-este-noviembre-localidades-horarios-y-requisitos-reniec-tdpe-noticia/</t>
        </is>
      </c>
    </row>
    <row r="84" ht="28.05" customHeight="1">
      <c r="A84" s="15" t="n">
        <v>83</v>
      </c>
      <c r="B84" s="15" t="inlineStr">
        <is>
          <t>2022-11-15</t>
        </is>
      </c>
      <c r="C84" s="16" t="inlineStr">
        <is>
          <t>gestion.pe</t>
        </is>
      </c>
      <c r="D84" s="16" t="inlineStr">
        <is>
          <t>Banco de Credito del Peru (BCP)</t>
        </is>
      </c>
      <c r="E84" s="17" t="inlineStr">
        <is>
          <t>Navidad 2022: Pymes facturarían más de 13,000 millones de soles durante estas fechas, proyecta CCLL</t>
        </is>
      </c>
      <c r="F84" s="19" t="inlineStr">
        <is>
          <t>Z_no_relevante</t>
        </is>
      </c>
      <c r="G84" s="19" t="n"/>
      <c r="H84" s="20" t="n"/>
      <c r="I84" s="19" t="n"/>
      <c r="J84" s="18" t="inlineStr">
        <is>
          <t>https://gestion.pe/economia/navidad-2022-pymes-facturarian-mas-de-13000-millones-de-soles-durante-estas-fechas-proyecta-ccll-rmmn-noticia/</t>
        </is>
      </c>
    </row>
    <row r="85" ht="28.05" customHeight="1">
      <c r="A85" s="15" t="n">
        <v>84</v>
      </c>
      <c r="B85" s="15" t="inlineStr">
        <is>
          <t>2022-01-06</t>
        </is>
      </c>
      <c r="C85" s="16" t="inlineStr">
        <is>
          <t>larepublica.pe</t>
        </is>
      </c>
      <c r="D85" s="16" t="inlineStr">
        <is>
          <t>Banco de Credito del Peru (BCP)</t>
        </is>
      </c>
      <c r="E85" s="17" t="inlineStr">
        <is>
          <t>¿Cómo cambiar el nombre que aparece en mi DNI? Requisitos y paso a paso del trámite</t>
        </is>
      </c>
      <c r="F85" s="19" t="inlineStr">
        <is>
          <t>Z_no_relevante</t>
        </is>
      </c>
      <c r="G85" s="19" t="n"/>
      <c r="H85" s="20" t="n"/>
      <c r="I85" s="19" t="n"/>
      <c r="J85" s="18" t="inlineStr">
        <is>
          <t>https://larepublica.pe/datos-lr/respuestas/2022/01/06/como-cambiar-el-nombre-en-tu-dni-pasos-y-requisitos-reniec-evat/</t>
        </is>
      </c>
    </row>
    <row r="86" ht="28.05" customHeight="1">
      <c r="A86" s="15" t="n">
        <v>85</v>
      </c>
      <c r="B86" s="15" t="inlineStr">
        <is>
          <t>2022-03-24</t>
        </is>
      </c>
      <c r="C86" s="16" t="inlineStr">
        <is>
          <t>larepublica.pe</t>
        </is>
      </c>
      <c r="D86" s="16" t="inlineStr">
        <is>
          <t>Banco de Credito del Peru (BCP)</t>
        </is>
      </c>
      <c r="E86" s="17" t="inlineStr">
        <is>
          <t>Bolsa de Valores de Lima cierra la jornada con pérdidas en 12 indicadores y baja 1,12%</t>
        </is>
      </c>
      <c r="F86" s="19" t="inlineStr">
        <is>
          <t>Z_indice_bursatil</t>
        </is>
      </c>
      <c r="G86" s="19" t="n"/>
      <c r="H86" s="20" t="n"/>
      <c r="I86" s="19" t="n"/>
      <c r="J86" s="18" t="inlineStr">
        <is>
          <t>https://larepublica.pe/economia/2022/03/24/bolsa-de-valores-de-lima-cierra-la-jornada-con-perdidas-en-12-indicadores-y-baja-112/</t>
        </is>
      </c>
    </row>
    <row r="87" ht="28.05" customHeight="1">
      <c r="A87" s="15" t="n">
        <v>86</v>
      </c>
      <c r="B87" s="15" t="inlineStr">
        <is>
          <t>2023-08-23</t>
        </is>
      </c>
      <c r="C87" s="16" t="inlineStr">
        <is>
          <t>elcomercio.pe</t>
        </is>
      </c>
      <c r="D87" s="16" t="inlineStr">
        <is>
          <t>Banco de Credito del Peru (BCP)</t>
        </is>
      </c>
      <c r="E87" s="17" t="inlineStr">
        <is>
          <t>¿Qué necesitas para acceder a los préstamos del Banco de la Nación?</t>
        </is>
      </c>
      <c r="F87" s="19" t="inlineStr">
        <is>
          <t>Z_no_relevante</t>
        </is>
      </c>
      <c r="G87" s="19" t="n"/>
      <c r="H87" s="20" t="n"/>
      <c r="I87" s="19" t="n"/>
      <c r="J87" s="18" t="inlineStr">
        <is>
          <t>https://elcomercio.pe/respuestas/como/como-puedo-acceder-a-los-prestamos-del-banco-de-la-nacion-tdpe-ultimas-noticia/</t>
        </is>
      </c>
    </row>
    <row r="88" ht="28.05" customHeight="1">
      <c r="A88" s="15" t="n">
        <v>87</v>
      </c>
      <c r="B88" s="15" t="inlineStr">
        <is>
          <t>2023-01-23</t>
        </is>
      </c>
      <c r="C88" s="16" t="inlineStr">
        <is>
          <t>gestion.pe</t>
        </is>
      </c>
      <c r="D88" s="16" t="inlineStr">
        <is>
          <t>Ferreycorp</t>
        </is>
      </c>
      <c r="E88" s="17" t="inlineStr">
        <is>
          <t>BVL cierra a la baja en medio de expectativas por que la FED reduzca sus alzas de tasas de interés</t>
        </is>
      </c>
      <c r="F88" s="19" t="inlineStr">
        <is>
          <t>Z_indice_bursatil</t>
        </is>
      </c>
      <c r="G88" s="19" t="n"/>
      <c r="H88" s="20" t="n"/>
      <c r="I88" s="19" t="n"/>
      <c r="J88" s="18" t="inlineStr">
        <is>
          <t>https://gestion.pe/economia/mercados/bvl-cierra-a-la-baja-en-medio-de-expectativas-por-que-la-fed-reduzca-sus-alzas-de-tasas-de-interes-noticia/</t>
        </is>
      </c>
    </row>
    <row r="89" ht="28.05" customHeight="1">
      <c r="A89" s="15" t="n">
        <v>88</v>
      </c>
      <c r="B89" s="15" t="inlineStr">
        <is>
          <t>2020-09-08</t>
        </is>
      </c>
      <c r="C89" s="16" t="inlineStr">
        <is>
          <t>gestion.pe</t>
        </is>
      </c>
      <c r="D89" s="16" t="inlineStr">
        <is>
          <t>Banco de Credito del Peru (BCP)</t>
        </is>
      </c>
      <c r="E89" s="17" t="inlineStr">
        <is>
          <t>Management Empleo: Estos son los ejecutivos que lideran el ranking de influencers de Recu</t>
        </is>
      </c>
      <c r="F89" s="19" t="inlineStr">
        <is>
          <t>Z_no_relevante</t>
        </is>
      </c>
      <c r="G89" s="19" t="n"/>
      <c r="H89" s="20" t="n"/>
      <c r="I89" s="19" t="n"/>
      <c r="J89" s="18" t="inlineStr">
        <is>
          <t>https://gestion.pe/economia/management-empleo/estos-son-los-ejecutivos-que-lideran-el-ranking-de-influencers-de-recursos-humanos-en-el-pais-ranking-recursos-humanos-management-ines-temple-rrhh-noticia/</t>
        </is>
      </c>
    </row>
    <row r="90" ht="28.05" customHeight="1">
      <c r="A90" s="15" t="n">
        <v>89</v>
      </c>
      <c r="B90" s="15" t="inlineStr">
        <is>
          <t>2018-12-04</t>
        </is>
      </c>
      <c r="C90" s="16" t="inlineStr">
        <is>
          <t>elcomercio.pe</t>
        </is>
      </c>
      <c r="D90" s="16" t="inlineStr">
        <is>
          <t>Banco de Credito del Peru (BCP)</t>
        </is>
      </c>
      <c r="E90" s="17" t="inlineStr">
        <is>
          <t>Referéndum 2018 y segunda vuelta: ¿Cómo tramitar el duplicado del DNI vía internet?</t>
        </is>
      </c>
      <c r="F90" s="19" t="inlineStr">
        <is>
          <t>Z_no_relevante</t>
        </is>
      </c>
      <c r="G90" s="19" t="n"/>
      <c r="H90" s="20" t="n"/>
      <c r="I90" s="19" t="n"/>
      <c r="J90" s="18" t="inlineStr">
        <is>
          <t>http://elcomercio.pe/peru/reniec-referendum-2018-segunda-vuelta-duplicado-dni-via-internet-noticia-552796</t>
        </is>
      </c>
    </row>
    <row r="91" ht="28.05" customHeight="1">
      <c r="A91" s="15" t="n">
        <v>90</v>
      </c>
      <c r="B91" s="15" t="inlineStr">
        <is>
          <t>2021-06-25</t>
        </is>
      </c>
      <c r="C91" s="16" t="inlineStr">
        <is>
          <t>elcomercio.pe</t>
        </is>
      </c>
      <c r="D91" s="16" t="inlineStr">
        <is>
          <t>Ferreycorp</t>
        </is>
      </c>
      <c r="E91" s="17" t="inlineStr">
        <is>
          <t>Bolsa de Valores de Lima cerró con sus principales indicadores al alza</t>
        </is>
      </c>
      <c r="F91" s="19" t="inlineStr">
        <is>
          <t>Z_indice_bursatil</t>
        </is>
      </c>
      <c r="G91" s="19" t="n"/>
      <c r="H91" s="20" t="n"/>
      <c r="I91" s="19" t="n"/>
      <c r="J91" s="18" t="inlineStr">
        <is>
          <t>https://elcomercio.pe/economia/bolsa-de-valores-de-lima-cerro-con-sus-principales-indicadores-al-alza-nndc-noticia/</t>
        </is>
      </c>
    </row>
    <row r="92" ht="28.05" customHeight="1">
      <c r="A92" s="15" t="n">
        <v>91</v>
      </c>
      <c r="B92" s="15" t="inlineStr">
        <is>
          <t>2023-01-01</t>
        </is>
      </c>
      <c r="C92" s="16" t="inlineStr">
        <is>
          <t>gestion.pe</t>
        </is>
      </c>
      <c r="D92" s="16" t="inlineStr">
        <is>
          <t>Compania de Minas Buenaventura</t>
        </is>
      </c>
      <c r="E92" s="17" t="inlineStr">
        <is>
          <t>Empleo en minería crece pese a menor producción</t>
        </is>
      </c>
      <c r="F92" s="19" t="inlineStr">
        <is>
          <t>Z_sector_macro</t>
        </is>
      </c>
      <c r="G92" s="19" t="n"/>
      <c r="H92" s="20" t="n"/>
      <c r="I92" s="19" t="n"/>
      <c r="J92" s="18" t="n"/>
    </row>
    <row r="93" ht="28.05" customHeight="1">
      <c r="A93" s="15" t="n">
        <v>92</v>
      </c>
      <c r="B93" s="15" t="inlineStr">
        <is>
          <t>2023-05-08</t>
        </is>
      </c>
      <c r="C93" s="16" t="inlineStr">
        <is>
          <t>elcomercio.pe</t>
        </is>
      </c>
      <c r="D93" s="16" t="inlineStr">
        <is>
          <t>Banco de Credito del Peru (BCP)</t>
        </is>
      </c>
      <c r="E93" s="17" t="inlineStr">
        <is>
          <t>Google Finance: ¿cómo obtiene el tipo de cambio de divisas la popular plataforma de Internet?</t>
        </is>
      </c>
      <c r="F93" s="19" t="inlineStr">
        <is>
          <t>Z_no_relevante</t>
        </is>
      </c>
      <c r="G93" s="19" t="n"/>
      <c r="H93" s="20" t="n"/>
      <c r="I93" s="19" t="n"/>
      <c r="J93" s="18" t="inlineStr">
        <is>
          <t>https://elcomercio.pe/tecnologia/actualidad/google-finance-como-obtiene-el-tipo-de-cambio-de-divisas-la-popular-plataforma-de-internet-dolar-hoy-tipo-de-cambio-noticia/</t>
        </is>
      </c>
    </row>
    <row r="94" ht="28.05" customHeight="1">
      <c r="A94" s="15" t="n">
        <v>93</v>
      </c>
      <c r="B94" s="15" t="inlineStr">
        <is>
          <t>2017-11-03</t>
        </is>
      </c>
      <c r="C94" s="16" t="inlineStr">
        <is>
          <t>elcomercio.pe</t>
        </is>
      </c>
      <c r="D94" s="16" t="inlineStr">
        <is>
          <t>Cementos Pacasmayo</t>
        </is>
      </c>
      <c r="E94" s="17" t="inlineStr">
        <is>
          <t>BVL cierra la semana con alza marginal</t>
        </is>
      </c>
      <c r="F94" s="19" t="inlineStr">
        <is>
          <t>Z_indice_bursatil</t>
        </is>
      </c>
      <c r="G94" s="19" t="n"/>
      <c r="H94" s="20" t="n"/>
      <c r="I94" s="19" t="n"/>
      <c r="J94" s="18" t="inlineStr">
        <is>
          <t>http://elcomercio.pe/economia/mercados/bvl-cierra-semana-alza-marginal-noticia-471097</t>
        </is>
      </c>
    </row>
    <row r="95" ht="28.05" customHeight="1">
      <c r="A95" s="15" t="n">
        <v>94</v>
      </c>
      <c r="B95" s="15" t="inlineStr">
        <is>
          <t>2023-09-11</t>
        </is>
      </c>
      <c r="C95" s="16" t="inlineStr">
        <is>
          <t>larepublica.pe</t>
        </is>
      </c>
      <c r="D95" s="16" t="inlineStr">
        <is>
          <t>Alicorp</t>
        </is>
      </c>
      <c r="E95" s="17" t="inlineStr">
        <is>
          <t>Día Nacional de la Cocina y Gastronomía Peruana: aprende a preparar un ají de gallina con quinua</t>
        </is>
      </c>
      <c r="F95" s="19" t="inlineStr">
        <is>
          <t>Z_no_relevante</t>
        </is>
      </c>
      <c r="G95" s="19" t="n"/>
      <c r="H95" s="20" t="n"/>
      <c r="I95" s="19" t="n"/>
      <c r="J95" s="18" t="inlineStr">
        <is>
          <t>https://larepublica.pe/nota-de-prensa/2023/09/11/dia-nacional-de-la-cocina-y-gastronomia-peruana-aprende-a-preparar-un-aji-de-gallina-con-quinua-897061</t>
        </is>
      </c>
    </row>
    <row r="96" ht="28.05" customHeight="1">
      <c r="A96" s="15" t="n">
        <v>95</v>
      </c>
      <c r="B96" s="15" t="inlineStr">
        <is>
          <t>2020-05-02</t>
        </is>
      </c>
      <c r="C96" s="16" t="inlineStr">
        <is>
          <t>elcomercio.pe</t>
        </is>
      </c>
      <c r="D96" s="16" t="inlineStr">
        <is>
          <t>Banco de Credito del Peru (BCP)</t>
        </is>
      </c>
      <c r="E96" s="17" t="inlineStr">
        <is>
          <t>Bono Familiar Universal: cómo cobrar paso a paso los 760 soles</t>
        </is>
      </c>
      <c r="F96" s="19" t="inlineStr">
        <is>
          <t>Z_no_relevante</t>
        </is>
      </c>
      <c r="G96" s="19" t="n"/>
      <c r="H96" s="20" t="n"/>
      <c r="I96" s="19" t="n"/>
      <c r="J96" s="18" t="inlineStr">
        <is>
          <t>https://elcomercio.pe/respuestas/bono-familiar-universal-como-cobrar-paso-a-paso-los-760-soles-coronavirus-en-peru-peru-covid-19-bono-760-soles-midis-cuarentena-pandemia-noticia/</t>
        </is>
      </c>
    </row>
    <row r="97" ht="28.05" customHeight="1">
      <c r="A97" s="15" t="n">
        <v>96</v>
      </c>
      <c r="B97" s="15" t="inlineStr">
        <is>
          <t>2019-02-20</t>
        </is>
      </c>
      <c r="C97" s="16" t="inlineStr">
        <is>
          <t>elcomercio.pe</t>
        </is>
      </c>
      <c r="D97" s="16" t="inlineStr">
        <is>
          <t>Cementos Pacasmayo</t>
        </is>
      </c>
      <c r="E97" s="17" t="inlineStr">
        <is>
          <t>Todas las noticias de hidrocarburos</t>
        </is>
      </c>
      <c r="F97" s="19" t="inlineStr">
        <is>
          <t>Z_no_relevante</t>
        </is>
      </c>
      <c r="G97" s="19" t="n"/>
      <c r="H97" s="20" t="inlineStr">
        <is>
          <t>x</t>
        </is>
      </c>
      <c r="I97" s="19" t="inlineStr">
        <is>
          <t>Titular de seccion, sin contenido clasificable.</t>
        </is>
      </c>
      <c r="J97" s="18" t="inlineStr">
        <is>
          <t>https://elcomercio.pe/noticias/hidrocarburos</t>
        </is>
      </c>
    </row>
    <row r="98" ht="28.05" customHeight="1">
      <c r="A98" s="15" t="n">
        <v>97</v>
      </c>
      <c r="B98" s="15" t="inlineStr">
        <is>
          <t>2021-02-14</t>
        </is>
      </c>
      <c r="C98" s="16" t="inlineStr">
        <is>
          <t>larepublica.pe</t>
        </is>
      </c>
      <c r="D98" s="16" t="inlineStr">
        <is>
          <t>Banco de Credito del Peru (BCP)</t>
        </is>
      </c>
      <c r="E98" s="17" t="inlineStr">
        <is>
          <t>Arequipa: SEAL no cerrará sus oficinas y atenderá con 40% de aforo</t>
        </is>
      </c>
      <c r="F98" s="19" t="inlineStr">
        <is>
          <t>Z_no_relevante</t>
        </is>
      </c>
      <c r="G98" s="19" t="n"/>
      <c r="H98" s="20" t="n"/>
      <c r="I98" s="19" t="n"/>
      <c r="J98" s="18" t="inlineStr">
        <is>
          <t>https://larepublica.pe/sociedad/2021/02/14/arequipa-seal-no-cerrara-sus-oficinas-y-atendera-con-40-de-aforo-lrsd/</t>
        </is>
      </c>
    </row>
    <row r="99" ht="28.05" customHeight="1">
      <c r="A99" s="15" t="n">
        <v>98</v>
      </c>
      <c r="B99" s="15" t="inlineStr">
        <is>
          <t>2016-08-28</t>
        </is>
      </c>
      <c r="C99" s="16" t="inlineStr">
        <is>
          <t>gestion.pe</t>
        </is>
      </c>
      <c r="D99" s="16" t="inlineStr">
        <is>
          <t>Luz del Sur</t>
        </is>
      </c>
      <c r="E99" s="17" t="inlineStr">
        <is>
          <t>PPK enviará solicitud de facultades al Congreso en la segunda semana de setiembre</t>
        </is>
      </c>
      <c r="F99" s="19" t="inlineStr">
        <is>
          <t>Z_no_relevante</t>
        </is>
      </c>
      <c r="G99" s="19" t="n"/>
      <c r="H99" s="20" t="n"/>
      <c r="I99" s="19" t="n"/>
      <c r="J99" s="18" t="inlineStr">
        <is>
          <t>http://gestion.pe/economia/ppk-enviaria-solicitud-facultades-al-congreso-segunda-semana-setiembre-2168906</t>
        </is>
      </c>
    </row>
    <row r="100" ht="28.05" customHeight="1">
      <c r="A100" s="15" t="n">
        <v>99</v>
      </c>
      <c r="B100" s="15" t="inlineStr">
        <is>
          <t>2023-07-18</t>
        </is>
      </c>
      <c r="C100" s="16" t="inlineStr">
        <is>
          <t>gestion.pe</t>
        </is>
      </c>
      <c r="D100" s="16" t="inlineStr">
        <is>
          <t>Minsur</t>
        </is>
      </c>
      <c r="E100" s="17" t="inlineStr">
        <is>
          <t>BVL cierra al alza tras dato de ventas minoristas de Estados Unidos</t>
        </is>
      </c>
      <c r="F100" s="19" t="inlineStr">
        <is>
          <t>Z_indice_bursatil</t>
        </is>
      </c>
      <c r="G100" s="19" t="n"/>
      <c r="H100" s="20" t="n"/>
      <c r="I100" s="19" t="n"/>
      <c r="J100" s="18" t="inlineStr">
        <is>
          <t>https://gestion.pe/economia/mercados/bvl-cierra-al-alza-tras-dato-de-ventas-minoristas-de-estados-unidos-noticia/</t>
        </is>
      </c>
    </row>
    <row r="101" ht="28.05" customHeight="1">
      <c r="A101" s="15" t="n">
        <v>100</v>
      </c>
      <c r="B101" s="15" t="inlineStr">
        <is>
          <t>2014-06-25</t>
        </is>
      </c>
      <c r="C101" s="16" t="inlineStr">
        <is>
          <t>larepublica.pe</t>
        </is>
      </c>
      <c r="D101" s="16" t="inlineStr">
        <is>
          <t>Banco de Credito del Peru (BCP)</t>
        </is>
      </c>
      <c r="E101" s="17" t="inlineStr">
        <is>
          <t>Cae la venta de viviendas por la mayor rigurosidad en la evaluación crediticia</t>
        </is>
      </c>
      <c r="F101" s="19" t="inlineStr">
        <is>
          <t>Z_sector_macro</t>
        </is>
      </c>
      <c r="G101" s="19" t="n"/>
      <c r="H101" s="20" t="n"/>
      <c r="I101" s="19" t="inlineStr">
        <is>
          <t>Venta de viviendas y evaluacion crediticia.</t>
        </is>
      </c>
      <c r="J101" s="18" t="n"/>
    </row>
    <row r="102" ht="28.05" customHeight="1">
      <c r="A102" s="15" t="n">
        <v>101</v>
      </c>
      <c r="B102" s="15" t="inlineStr">
        <is>
          <t>2023-09-19</t>
        </is>
      </c>
      <c r="C102" s="16" t="inlineStr">
        <is>
          <t>gestion.pe</t>
        </is>
      </c>
      <c r="D102" s="16" t="inlineStr">
        <is>
          <t>Alicorp</t>
        </is>
      </c>
      <c r="E102" s="17" t="inlineStr">
        <is>
          <t>El futuro TEC de las 10 Empresas Más Admiradas del 2023</t>
        </is>
      </c>
      <c r="F102" s="19" t="inlineStr">
        <is>
          <t>Z_mencion_incidental</t>
        </is>
      </c>
      <c r="G102" s="19" t="n"/>
      <c r="H102" s="20" t="n"/>
      <c r="I102" s="19" t="inlineStr">
        <is>
          <t>Ranking de empresas admiradas.</t>
        </is>
      </c>
      <c r="J102" s="18" t="inlineStr">
        <is>
          <t>https://gestion.pe/economia/empresas/el-futuro-tec-de-las-10-empresas-mas-admiradas-del-2023-alicorp-bcp-antamina-gloria-backus-noticia/</t>
        </is>
      </c>
    </row>
    <row r="103" ht="28.05" customHeight="1">
      <c r="A103" s="15" t="n">
        <v>102</v>
      </c>
      <c r="B103" s="15" t="inlineStr">
        <is>
          <t>2023-11-03</t>
        </is>
      </c>
      <c r="C103" s="16" t="inlineStr">
        <is>
          <t>elcomercio.pe</t>
        </is>
      </c>
      <c r="D103" s="16" t="inlineStr">
        <is>
          <t>Banco de Credito del Peru (BCP)</t>
        </is>
      </c>
      <c r="E103" s="17" t="inlineStr">
        <is>
          <t>Nexa Resources registra crecimiento en producción de zinc en tercer trimestre de 2023</t>
        </is>
      </c>
      <c r="F103" s="19" t="inlineStr">
        <is>
          <t>Z_no_relevante</t>
        </is>
      </c>
      <c r="G103" s="19" t="n"/>
      <c r="H103" s="20" t="n"/>
      <c r="I103" s="19" t="inlineStr">
        <is>
          <t>Nexa Resources: otra empresa, otro sector.</t>
        </is>
      </c>
      <c r="J103" s="18" t="inlineStr">
        <is>
          <t>https://elcomercio.pe/economia/negocios/nexa-resources-registra-crecimiento-en-produccion-de-zinc-en-tercer-trimestre-de-2023-ultimas-noticia/</t>
        </is>
      </c>
    </row>
    <row r="104" ht="28.05" customHeight="1">
      <c r="A104" s="15" t="n">
        <v>103</v>
      </c>
      <c r="B104" s="15" t="inlineStr">
        <is>
          <t>2017-02-20</t>
        </is>
      </c>
      <c r="C104" s="16" t="inlineStr">
        <is>
          <t>elcomercio.pe</t>
        </is>
      </c>
      <c r="D104" s="16" t="inlineStr">
        <is>
          <t>Banco de Credito del Peru (BCP)</t>
        </is>
      </c>
      <c r="E104" s="17" t="inlineStr">
        <is>
          <t>BCP: Economía habría crecido entre 4,5% y 5% en enero</t>
        </is>
      </c>
      <c r="F104" s="19" t="inlineStr">
        <is>
          <t>Z_mencion_incidental</t>
        </is>
      </c>
      <c r="G104" s="19" t="n"/>
      <c r="H104" s="20" t="inlineStr">
        <is>
          <t>x</t>
        </is>
      </c>
      <c r="I104" s="19" t="inlineStr">
        <is>
          <t>EJEMPLAR: el BCP firma una proyeccion macro, la noticia es la economia. Familia con 140, 251, 509, 510.</t>
        </is>
      </c>
      <c r="J104" s="18" t="inlineStr">
        <is>
          <t>http://elcomercio.pe/economia/peru/bcp-economia-habria-crecido-entre-45-y-5-enero-noticia-1970138</t>
        </is>
      </c>
    </row>
    <row r="105" ht="28.05" customHeight="1">
      <c r="A105" s="15" t="n">
        <v>104</v>
      </c>
      <c r="B105" s="15" t="inlineStr">
        <is>
          <t>2017-01-12</t>
        </is>
      </c>
      <c r="C105" s="16" t="inlineStr">
        <is>
          <t>elcomercio.pe</t>
        </is>
      </c>
      <c r="D105" s="16" t="inlineStr">
        <is>
          <t>Alicorp</t>
        </is>
      </c>
      <c r="E105" s="17" t="inlineStr">
        <is>
          <t>Acciones de Cementos Pacasmayo destaca para Credicorp Capital</t>
        </is>
      </c>
      <c r="F105" s="19" t="inlineStr">
        <is>
          <t>Z_no_relevante</t>
        </is>
      </c>
      <c r="G105" s="19" t="n"/>
      <c r="H105" s="20" t="inlineStr">
        <is>
          <t>x</t>
        </is>
      </c>
      <c r="I105" s="19" t="inlineStr">
        <is>
          <t>La nota es sobre la accion de Pacasmayo; Alicorp no aparece.</t>
        </is>
      </c>
      <c r="J105" s="18" t="inlineStr">
        <is>
          <t>http://elcomercio.pe/economia/mercados/accion-cementos-pacasmayo-destaca-credicorp-capital-noticia-1959971</t>
        </is>
      </c>
    </row>
    <row r="106" ht="28.05" customHeight="1">
      <c r="A106" s="15" t="n">
        <v>105</v>
      </c>
      <c r="B106" s="15" t="inlineStr">
        <is>
          <t>2023-07-27</t>
        </is>
      </c>
      <c r="C106" s="16" t="inlineStr">
        <is>
          <t>gestion.pe</t>
        </is>
      </c>
      <c r="D106" s="16" t="inlineStr">
        <is>
          <t>Alicorp</t>
        </is>
      </c>
      <c r="E106" s="17" t="inlineStr">
        <is>
          <t>BVL cierra a la baja ante expectativas por nueva alza de tasas en Estados Unidos</t>
        </is>
      </c>
      <c r="F106" s="19" t="inlineStr">
        <is>
          <t>Z_indice_bursatil</t>
        </is>
      </c>
      <c r="G106" s="19" t="n"/>
      <c r="H106" s="20" t="n"/>
      <c r="I106" s="19" t="n"/>
      <c r="J106" s="18" t="inlineStr">
        <is>
          <t>https://gestion.pe/economia/mercados/bvl-cierra-a-la-baja-ante-expectativas-por-nueva-alza-de-tasas-en-estados-unidos-noticia/</t>
        </is>
      </c>
    </row>
    <row r="107" ht="28.05" customHeight="1">
      <c r="A107" s="15" t="n">
        <v>106</v>
      </c>
      <c r="B107" s="15" t="inlineStr">
        <is>
          <t>2024-11-20</t>
        </is>
      </c>
      <c r="C107" s="16" t="inlineStr">
        <is>
          <t>gestion.pe</t>
        </is>
      </c>
      <c r="D107" s="16" t="inlineStr">
        <is>
          <t>Luz del Sur</t>
        </is>
      </c>
      <c r="E107" s="17" t="inlineStr">
        <is>
          <t>Ferrocarril Central Andino: tren de pasajeros de Lima a Chosica arranca el 2026</t>
        </is>
      </c>
      <c r="F107" s="19" t="inlineStr">
        <is>
          <t>Z_no_relevante</t>
        </is>
      </c>
      <c r="G107" s="19" t="n"/>
      <c r="H107" s="20" t="n"/>
      <c r="I107" s="19" t="n"/>
      <c r="J107" s="18" t="inlineStr">
        <is>
          <t>https://gestion.pe/economia/ferrocarril-central-andino-tren-de-pasajeros-de-lima-a-chosica-arranca-el-2026-noticia/</t>
        </is>
      </c>
    </row>
    <row r="108" ht="28.05" customHeight="1">
      <c r="A108" s="15" t="n">
        <v>107</v>
      </c>
      <c r="B108" s="15" t="inlineStr">
        <is>
          <t>2023-12-14</t>
        </is>
      </c>
      <c r="C108" s="16" t="inlineStr">
        <is>
          <t>larepublica.pe</t>
        </is>
      </c>
      <c r="D108" s="16" t="inlineStr">
        <is>
          <t>Banco de Credito del Peru (BCP)</t>
        </is>
      </c>
      <c r="E108" s="17" t="inlineStr">
        <is>
          <t>Dólar cierra la jornada a la baja y cotiza en S/3,7650 este jueves 14 de diciembre</t>
        </is>
      </c>
      <c r="F108" s="19" t="inlineStr">
        <is>
          <t>Z_mencion_incidental</t>
        </is>
      </c>
      <c r="G108" s="19" t="n"/>
      <c r="H108" s="20" t="n"/>
      <c r="I108" s="19" t="inlineStr">
        <is>
          <t>Tipo de cambio.</t>
        </is>
      </c>
      <c r="J108" s="18" t="inlineStr">
        <is>
          <t>https://larepublica.pe/economia/2023/12/14/dolar-cierra-la-jornada-a-la-baja-y-cotiza-en-s37650-este-jueves-14-de-diciembre-184366</t>
        </is>
      </c>
    </row>
    <row r="109" ht="28.05" customHeight="1">
      <c r="A109" s="15" t="n">
        <v>108</v>
      </c>
      <c r="B109" s="15" t="inlineStr">
        <is>
          <t>2022-09-13</t>
        </is>
      </c>
      <c r="C109" s="16" t="inlineStr">
        <is>
          <t>elcomercio.pe</t>
        </is>
      </c>
      <c r="D109" s="16" t="inlineStr">
        <is>
          <t>Banco de Credito del Peru (BCP)</t>
        </is>
      </c>
      <c r="E109" s="17" t="inlineStr">
        <is>
          <t>Sexto retiro de AFP: Más de 3 millones de afiliados sacaron un total de S/22.020 millones de sus ahorros</t>
        </is>
      </c>
      <c r="F109" s="19" t="inlineStr">
        <is>
          <t>Z_sector_macro</t>
        </is>
      </c>
      <c r="G109" s="19" t="n"/>
      <c r="H109" s="20" t="n"/>
      <c r="I109" s="19" t="inlineStr">
        <is>
          <t>Retiro de AFP, agregado del sistema.</t>
        </is>
      </c>
      <c r="J109" s="18" t="inlineStr">
        <is>
          <t>https://elcomercio.pe/economia/peru/sexto-retiro-de-afp-mas-de-3-millones-de-afiliados-sacaron-un-total-de-s22020-millones-de-sus-ahorros-prima-habitat-profuturo-integra-rmmn-noticia/</t>
        </is>
      </c>
    </row>
    <row r="110" ht="28.05" customHeight="1">
      <c r="A110" s="15" t="n">
        <v>109</v>
      </c>
      <c r="B110" s="15" t="inlineStr">
        <is>
          <t>2019-02-06</t>
        </is>
      </c>
      <c r="C110" s="16" t="inlineStr">
        <is>
          <t>elcomercio.pe</t>
        </is>
      </c>
      <c r="D110" s="16" t="inlineStr">
        <is>
          <t>Aceros Arequipa</t>
        </is>
      </c>
      <c r="E110" s="17" t="inlineStr">
        <is>
          <t>BVL cerró este miércoles al alza con una leve subida de 0,07%</t>
        </is>
      </c>
      <c r="F110" s="19" t="inlineStr">
        <is>
          <t>Z_indice_bursatil</t>
        </is>
      </c>
      <c r="G110" s="19" t="n"/>
      <c r="H110" s="20" t="n"/>
      <c r="I110" s="19" t="n"/>
      <c r="J110" s="18" t="inlineStr">
        <is>
          <t>http://elcomercio.pe/economia/mercados/bvl-cerro-miercoles-alza-leve-subida-0-07-minera-poderosa-russell-banco-credito-telefonica-noticia-nndc-605124</t>
        </is>
      </c>
    </row>
    <row r="111" ht="28.05" customHeight="1">
      <c r="A111" s="15" t="n">
        <v>110</v>
      </c>
      <c r="B111" s="15" t="inlineStr">
        <is>
          <t>2020-07-24</t>
        </is>
      </c>
      <c r="C111" s="16" t="inlineStr">
        <is>
          <t>elcomercio.pe</t>
        </is>
      </c>
      <c r="D111" s="16" t="inlineStr">
        <is>
          <t>Ferreycorp</t>
        </is>
      </c>
      <c r="E111" s="17" t="inlineStr">
        <is>
          <t>Mercados: Cobre | Disputa entre China y EE.UU. lleva al cobre hacia su primera p</t>
        </is>
      </c>
      <c r="F111" s="19" t="inlineStr">
        <is>
          <t>Z_sector_macro</t>
        </is>
      </c>
      <c r="G111" s="19" t="n"/>
      <c r="H111" s="20" t="n"/>
      <c r="I111" s="19" t="inlineStr">
        <is>
          <t>Precio del cobre.</t>
        </is>
      </c>
      <c r="J111" s="18" t="inlineStr">
        <is>
          <t>https://elcomercio.pe/economia/mercados/disputa-entre-china-y-eeuu-lleva-al-cobre-hacia-su-primera-perdida-semanal-desde-mayo-precio-de-los-metales-nndc-noticia/</t>
        </is>
      </c>
    </row>
    <row r="112" ht="28.05" customHeight="1">
      <c r="A112" s="15" t="n">
        <v>111</v>
      </c>
      <c r="B112" s="15" t="inlineStr">
        <is>
          <t>2025-09-21</t>
        </is>
      </c>
      <c r="C112" s="16" t="inlineStr">
        <is>
          <t>larepublica.pe</t>
        </is>
      </c>
      <c r="D112" s="16" t="inlineStr">
        <is>
          <t>Banco de Credito del Peru (BCP)</t>
        </is>
      </c>
      <c r="E112" s="17" t="inlineStr">
        <is>
          <t>Precio del dólar en Perú HOY, domingo 21 de septiembre: ¿cuál es la cotización del tipo de cambio?</t>
        </is>
      </c>
      <c r="F112" s="19" t="inlineStr">
        <is>
          <t>Z_mencion_incidental</t>
        </is>
      </c>
      <c r="G112" s="19" t="n"/>
      <c r="H112" s="20" t="n"/>
      <c r="I112" s="19" t="inlineStr">
        <is>
          <t>Tipo de cambio.</t>
        </is>
      </c>
      <c r="J112" s="18" t="inlineStr">
        <is>
          <t>https://larepublica.pe/economia/precio-del-dolar/2025/09/21/tipo-de-cambio-actual-en-peru-este-domingo-21-de-septiembre-de-2025-a-cuanto-esta-el-precio-del-dolar-y-cual-es-su-cotizacion-para-compra-y-venta-bcrp-dolar-ocona-atmp-644120</t>
        </is>
      </c>
    </row>
    <row r="113" ht="28.05" customHeight="1">
      <c r="A113" s="15" t="n">
        <v>112</v>
      </c>
      <c r="B113" s="15" t="inlineStr">
        <is>
          <t>2021-06-17</t>
        </is>
      </c>
      <c r="C113" s="16" t="inlineStr">
        <is>
          <t>gestion.pe</t>
        </is>
      </c>
      <c r="D113" s="16" t="inlineStr">
        <is>
          <t>InRetail Peru Corp</t>
        </is>
      </c>
      <c r="E113" s="17" t="inlineStr">
        <is>
          <t>Consumo de wisky resiste el cierre de bares con mayor demanda en el hogar</t>
        </is>
      </c>
      <c r="F113" s="19" t="inlineStr">
        <is>
          <t>Z_sector_macro</t>
        </is>
      </c>
      <c r="G113" s="19" t="n"/>
      <c r="H113" s="20" t="n"/>
      <c r="I113" s="19" t="inlineStr">
        <is>
          <t>Consumo de la categoria.</t>
        </is>
      </c>
      <c r="J113" s="18" t="inlineStr">
        <is>
          <t>https://gestion.pe/economia/empresas/consumo-de-wisky-resiste-el-cierre-de-bares-con-mayor-demanda-en-el-hogar-noticia/</t>
        </is>
      </c>
    </row>
    <row r="114" ht="28.05" customHeight="1">
      <c r="A114" s="15" t="n">
        <v>113</v>
      </c>
      <c r="B114" s="15" t="inlineStr">
        <is>
          <t>2025-02-14</t>
        </is>
      </c>
      <c r="C114" s="16" t="inlineStr">
        <is>
          <t>larepublica.pe</t>
        </is>
      </c>
      <c r="D114" s="16" t="inlineStr">
        <is>
          <t>Banco de Credito del Peru (BCP)</t>
        </is>
      </c>
      <c r="E114" s="17" t="inlineStr">
        <is>
          <t>Precio del dólar en Perú HOY, viernes 14 de febrero: ¿cuál es la cotización del tipo de cambio?</t>
        </is>
      </c>
      <c r="F114" s="19" t="inlineStr">
        <is>
          <t>Z_mencion_incidental</t>
        </is>
      </c>
      <c r="G114" s="19" t="n"/>
      <c r="H114" s="20" t="n"/>
      <c r="I114" s="19" t="inlineStr">
        <is>
          <t>Tipo de cambio.</t>
        </is>
      </c>
      <c r="J114" s="18" t="inlineStr">
        <is>
          <t>https://larepublica.pe/economia/precio-del-dolar/2025/02/14/tipo-de-cambio-actual-en-peru-este-14-y-15-de-febrero-2025-a-cuanto-esta-el-precio-del-dolar-y-cual-es-su-cotizacion-para-compra-y-venta-bcrp-dolar-ocona-atmp-722085</t>
        </is>
      </c>
    </row>
    <row r="115" ht="28.05" customHeight="1">
      <c r="A115" s="15" t="n">
        <v>114</v>
      </c>
      <c r="B115" s="15" t="inlineStr">
        <is>
          <t>2025-04-11</t>
        </is>
      </c>
      <c r="C115" s="16" t="inlineStr">
        <is>
          <t>gestion.pe</t>
        </is>
      </c>
      <c r="D115" s="16" t="inlineStr">
        <is>
          <t>Banco de Credito del Peru (BCP)</t>
        </is>
      </c>
      <c r="E115" s="17" t="inlineStr">
        <is>
          <t>Credicorp Capital: ¿El sol ‘suizo’?</t>
        </is>
      </c>
      <c r="F115" s="19" t="inlineStr">
        <is>
          <t>Z_mencion_incidental</t>
        </is>
      </c>
      <c r="G115" s="19" t="n"/>
      <c r="H115" s="20" t="n"/>
      <c r="I115" s="19" t="inlineStr">
        <is>
          <t>Analisis cambiario de Credicorp Capital.</t>
        </is>
      </c>
      <c r="J115" s="18" t="inlineStr">
        <is>
          <t>https://gestion.pe/g-de-gestion/columnistas/credicorp-el-sol-se-fortalece-en-medio-de-la-guerra-comercial-cuales-son-los-motivos-segun-daniel-velandia-noticia/</t>
        </is>
      </c>
    </row>
    <row r="116" ht="28.05" customHeight="1">
      <c r="A116" s="15" t="n">
        <v>115</v>
      </c>
      <c r="B116" s="15" t="inlineStr">
        <is>
          <t>2021-07-24</t>
        </is>
      </c>
      <c r="C116" s="16" t="inlineStr">
        <is>
          <t>larepublica.pe</t>
        </is>
      </c>
      <c r="D116" s="16" t="inlineStr">
        <is>
          <t>InRetail Peru Corp</t>
        </is>
      </c>
      <c r="E116" s="17" t="inlineStr">
        <is>
          <t>Trece negocios son multados por Municipalidad de Trujillo</t>
        </is>
      </c>
      <c r="F116" s="19" t="inlineStr">
        <is>
          <t>Z_no_relevante</t>
        </is>
      </c>
      <c r="G116" s="19" t="n"/>
      <c r="H116" s="20" t="inlineStr">
        <is>
          <t>x</t>
        </is>
      </c>
      <c r="I116" s="19" t="inlineStr">
        <is>
          <t>Multas municipales sin identificar a los negocios.</t>
        </is>
      </c>
      <c r="J116" s="18" t="inlineStr">
        <is>
          <t>https://larepublica.pe/sociedad/2021/07/24/trece-negocios-son-multados-por-municipalidad-de-trujillo-lrnd/</t>
        </is>
      </c>
    </row>
    <row r="117" ht="28.05" customHeight="1">
      <c r="A117" s="15" t="n">
        <v>116</v>
      </c>
      <c r="B117" s="15" t="inlineStr">
        <is>
          <t>2022-07-14</t>
        </is>
      </c>
      <c r="C117" s="16" t="inlineStr">
        <is>
          <t>gestion.pe</t>
        </is>
      </c>
      <c r="D117" s="16" t="inlineStr">
        <is>
          <t>Compania de Minas Buenaventura</t>
        </is>
      </c>
      <c r="E117" s="17" t="inlineStr">
        <is>
          <t>Bolsa de Valores de Lima cierra a la baja en medio de temores a posible recesión</t>
        </is>
      </c>
      <c r="F117" s="19" t="inlineStr">
        <is>
          <t>Z_indice_bursatil</t>
        </is>
      </c>
      <c r="G117" s="19" t="n"/>
      <c r="H117" s="20" t="n"/>
      <c r="I117" s="19" t="n"/>
      <c r="J117" s="18" t="inlineStr">
        <is>
          <t>https://gestion.pe/economia/mercados/bolsa-de-valores-de-lima-cierra-a-la-baja-en-medio-de-temores-a-posible-recesion-rmmn-noticia/</t>
        </is>
      </c>
    </row>
    <row r="118" ht="28.05" customHeight="1">
      <c r="A118" s="15" t="n">
        <v>117</v>
      </c>
      <c r="B118" s="15" t="inlineStr">
        <is>
          <t>2017-01-12</t>
        </is>
      </c>
      <c r="C118" s="16" t="inlineStr">
        <is>
          <t>elcomercio.pe</t>
        </is>
      </c>
      <c r="D118" s="16" t="inlineStr">
        <is>
          <t>Ferreycorp</t>
        </is>
      </c>
      <c r="E118" s="17" t="inlineStr">
        <is>
          <t>San Isidro: recorrimos predios que buscan ser Patrimonio Cultural</t>
        </is>
      </c>
      <c r="F118" s="19" t="inlineStr">
        <is>
          <t>Z_no_relevante</t>
        </is>
      </c>
      <c r="G118" s="19" t="n"/>
      <c r="H118" s="20" t="n"/>
      <c r="I118" s="19" t="n"/>
      <c r="J118" s="18" t="inlineStr">
        <is>
          <t>http://elcomercio.pe/luces/arte/san-isidro-recorrido-predios-que-buscan-patrimonio-cultural-noticia-1959923</t>
        </is>
      </c>
    </row>
    <row r="119" ht="28.05" customHeight="1">
      <c r="A119" s="15" t="n">
        <v>118</v>
      </c>
      <c r="B119" s="15" t="inlineStr">
        <is>
          <t>2023-07-17</t>
        </is>
      </c>
      <c r="C119" s="16" t="inlineStr">
        <is>
          <t>gestion.pe</t>
        </is>
      </c>
      <c r="D119" s="16" t="inlineStr">
        <is>
          <t>Alicorp</t>
        </is>
      </c>
      <c r="E119" s="17" t="inlineStr">
        <is>
          <t>BVL cierra al alza tras revelarse datos de crecimiento en China</t>
        </is>
      </c>
      <c r="F119" s="19" t="inlineStr">
        <is>
          <t>Z_indice_bursatil</t>
        </is>
      </c>
      <c r="G119" s="19" t="n"/>
      <c r="H119" s="20" t="n"/>
      <c r="I119" s="19" t="n"/>
      <c r="J119" s="18" t="inlineStr">
        <is>
          <t>https://gestion.pe/economia/mercados/bvl-cierra-al-alza-tras-revelarse-datos-de-crecimiento-en-china-noticia/</t>
        </is>
      </c>
    </row>
    <row r="120" ht="28.05" customHeight="1">
      <c r="A120" s="15" t="n">
        <v>119</v>
      </c>
      <c r="B120" s="15" t="inlineStr">
        <is>
          <t>2014-02-28</t>
        </is>
      </c>
      <c r="C120" s="16" t="inlineStr">
        <is>
          <t>elcomercio.pe</t>
        </is>
      </c>
      <c r="D120" s="16" t="inlineStr">
        <is>
          <t>Banco de Credito del Peru (BCP)</t>
        </is>
      </c>
      <c r="E120" s="17" t="inlineStr">
        <is>
          <t>Las ganancias de empresas líderes cayeron 14,6% en el 2013</t>
        </is>
      </c>
      <c r="F120" s="19" t="inlineStr">
        <is>
          <t>Z_mencion_incidental</t>
        </is>
      </c>
      <c r="G120" s="19" t="n"/>
      <c r="H120" s="20" t="n"/>
      <c r="I120" s="19" t="inlineStr">
        <is>
          <t>Utilidades agregadas (ver fila 80).</t>
        </is>
      </c>
      <c r="J120" s="18" t="inlineStr">
        <is>
          <t>http://elcomercio.pe/economia/peru/ganancias-empresas-lideres-cayeron-146-2013-noticia-1712839</t>
        </is>
      </c>
    </row>
    <row r="121" ht="28.05" customHeight="1">
      <c r="A121" s="15" t="n">
        <v>120</v>
      </c>
      <c r="B121" s="15" t="inlineStr">
        <is>
          <t>2021-03-25</t>
        </is>
      </c>
      <c r="C121" s="16" t="inlineStr">
        <is>
          <t>gestion.pe</t>
        </is>
      </c>
      <c r="D121" s="16" t="inlineStr">
        <is>
          <t>Saga Falabella</t>
        </is>
      </c>
      <c r="E121" s="17" t="inlineStr">
        <is>
          <t>Operador de Crocs sumará marcas UGG y Diesel a su portafolio este año</t>
        </is>
      </c>
      <c r="F121" s="19" t="inlineStr">
        <is>
          <t>Z_sector_macro</t>
        </is>
      </c>
      <c r="G121" s="19" t="n"/>
      <c r="H121" s="20" t="inlineStr">
        <is>
          <t>x</t>
        </is>
      </c>
      <c r="I121" s="19" t="inlineStr">
        <is>
          <t>Movida de un competidor en el retail de marcas.</t>
        </is>
      </c>
      <c r="J121" s="18" t="n"/>
    </row>
    <row r="122" ht="28.05" customHeight="1">
      <c r="A122" s="15" t="n">
        <v>121</v>
      </c>
      <c r="B122" s="15" t="inlineStr">
        <is>
          <t>2018-10-11</t>
        </is>
      </c>
      <c r="C122" s="16" t="inlineStr">
        <is>
          <t>gestion.pe</t>
        </is>
      </c>
      <c r="D122" s="16" t="inlineStr">
        <is>
          <t>Compania de Minas Buenaventura</t>
        </is>
      </c>
      <c r="E122" s="17" t="inlineStr">
        <is>
          <t>Inversiones mineras siguen ‘sonriendo’ en Perú y crecen 6.3% a agosto, ¿cuánto sumaron?</t>
        </is>
      </c>
      <c r="F122" s="19" t="inlineStr">
        <is>
          <t>Z_sector_macro</t>
        </is>
      </c>
      <c r="G122" s="19" t="n"/>
      <c r="H122" s="20" t="n"/>
      <c r="I122" s="19" t="n"/>
      <c r="J122" s="18" t="n"/>
    </row>
    <row r="123" ht="28.05" customHeight="1">
      <c r="A123" s="15" t="n">
        <v>122</v>
      </c>
      <c r="B123" s="15" t="inlineStr">
        <is>
          <t>2018-06-13</t>
        </is>
      </c>
      <c r="C123" s="16" t="inlineStr">
        <is>
          <t>gestion.pe</t>
        </is>
      </c>
      <c r="D123" s="16" t="inlineStr">
        <is>
          <t>Banco de Credito del Peru (BCP)</t>
        </is>
      </c>
      <c r="E123" s="17" t="inlineStr">
        <is>
          <t>Rusia 2018: Credicorp Capital apuesta por una victoria del local sobre Arabia</t>
        </is>
      </c>
      <c r="F123" s="19" t="inlineStr">
        <is>
          <t>Z_mencion_incidental</t>
        </is>
      </c>
      <c r="G123" s="19" t="n"/>
      <c r="H123" s="20" t="n"/>
      <c r="I123" s="19" t="inlineStr">
        <is>
          <t>Credicorp Capital como fuente (ver fila 40).</t>
        </is>
      </c>
      <c r="J123" s="18" t="inlineStr">
        <is>
          <t>http://gestion.pe/mundial/rusia-2018-credicorp-capital-apuesta-victoria-local-arabia-235911</t>
        </is>
      </c>
    </row>
    <row r="124" ht="28.05" customHeight="1">
      <c r="A124" s="15" t="n">
        <v>123</v>
      </c>
      <c r="B124" s="15" t="inlineStr">
        <is>
          <t>2017-08-10</t>
        </is>
      </c>
      <c r="C124" s="16" t="inlineStr">
        <is>
          <t>gestion.pe</t>
        </is>
      </c>
      <c r="D124" s="16" t="inlineStr">
        <is>
          <t>Banco de Credito del Peru (BCP)</t>
        </is>
      </c>
      <c r="E124" s="17" t="inlineStr">
        <is>
          <t>Interbank: Ya empezó recuperación de consumo con tarjetas de crédito</t>
        </is>
      </c>
      <c r="F124" s="19" t="inlineStr">
        <is>
          <t>Z_sector_macro</t>
        </is>
      </c>
      <c r="G124" s="19" t="n"/>
      <c r="H124" s="20" t="inlineStr">
        <is>
          <t>x</t>
        </is>
      </c>
      <c r="I124" s="19" t="inlineStr">
        <is>
          <t>Recuperacion del consumo con tarjetas, con Interbank como fuente.</t>
        </is>
      </c>
      <c r="J124" s="18" t="inlineStr">
        <is>
          <t>http://gestion.pe/economia/interbank-ya-empezo-recuperacion-consumo-tarjetas-credito-2197486</t>
        </is>
      </c>
    </row>
    <row r="125" ht="28.05" customHeight="1">
      <c r="A125" s="15" t="n">
        <v>124</v>
      </c>
      <c r="B125" s="15" t="inlineStr">
        <is>
          <t>2018-05-15</t>
        </is>
      </c>
      <c r="C125" s="16" t="inlineStr">
        <is>
          <t>elcomercio.pe</t>
        </is>
      </c>
      <c r="D125" s="16" t="inlineStr">
        <is>
          <t>Banco de Credito del Peru (BCP)</t>
        </is>
      </c>
      <c r="E125" s="17" t="inlineStr">
        <is>
          <t>Paolo Guerrero: ¿Qué deben hacer sus patrocinadores?</t>
        </is>
      </c>
      <c r="F125" s="19" t="inlineStr">
        <is>
          <t>Z_patrocinio_rse</t>
        </is>
      </c>
      <c r="G125" s="19" t="n"/>
      <c r="H125" s="20" t="inlineStr">
        <is>
          <t>x</t>
        </is>
      </c>
      <c r="I125" s="19" t="inlineStr">
        <is>
          <t>El BCP figura como patrocinador del futbolista.</t>
        </is>
      </c>
      <c r="J125" s="18" t="inlineStr">
        <is>
          <t>http://elcomercio.pe/economia/negocios/paolo-guerrero-deben-patrocinadores-noticia-520013</t>
        </is>
      </c>
    </row>
    <row r="126" ht="28.05" customHeight="1">
      <c r="A126" s="15" t="n">
        <v>125</v>
      </c>
      <c r="B126" s="15" t="inlineStr">
        <is>
          <t>2019-02-19</t>
        </is>
      </c>
      <c r="C126" s="16" t="inlineStr">
        <is>
          <t>gestion.pe</t>
        </is>
      </c>
      <c r="D126" s="16" t="inlineStr">
        <is>
          <t>Alicorp</t>
        </is>
      </c>
      <c r="E126" s="17" t="inlineStr">
        <is>
          <t>Despegue en inversión publicitaria se verá recién en segundo trimestre</t>
        </is>
      </c>
      <c r="F126" s="19" t="inlineStr">
        <is>
          <t>Z_sector_macro</t>
        </is>
      </c>
      <c r="G126" s="19" t="n"/>
      <c r="H126" s="20" t="n"/>
      <c r="I126" s="19" t="inlineStr">
        <is>
          <t>Inversion publicitaria del mercado.</t>
        </is>
      </c>
      <c r="J126" s="18" t="inlineStr">
        <is>
          <t>http://gestion.pe/economia/empresas/despegue-inversion-publicitaria-vera-recien-segundo-trimestre-259081</t>
        </is>
      </c>
    </row>
    <row r="127" ht="28.05" customHeight="1">
      <c r="A127" s="15" t="n">
        <v>126</v>
      </c>
      <c r="B127" s="15" t="inlineStr">
        <is>
          <t>2022-10-12</t>
        </is>
      </c>
      <c r="C127" s="16" t="inlineStr">
        <is>
          <t>gestion.pe</t>
        </is>
      </c>
      <c r="D127" s="16" t="inlineStr">
        <is>
          <t>Cementos Pacasmayo</t>
        </is>
      </c>
      <c r="E127" s="17" t="inlineStr">
        <is>
          <t>Bolsa de Valores de Lima cierra al alza mientras la atención está puesta en el dato de inflación en EE.UU.</t>
        </is>
      </c>
      <c r="F127" s="19" t="inlineStr">
        <is>
          <t>Z_indice_bursatil</t>
        </is>
      </c>
      <c r="G127" s="19" t="n"/>
      <c r="H127" s="20" t="n"/>
      <c r="I127" s="19" t="n"/>
      <c r="J127" s="18" t="inlineStr">
        <is>
          <t>https://gestion.pe/economia/bolsa-de-valores-de-lima-cierra-al-alza-mientras-la-atencion-esta-puesta-en-el-dato-de-inflacion-en-eeuu-rmmn-noticia/</t>
        </is>
      </c>
    </row>
    <row r="128" ht="28.05" customHeight="1">
      <c r="A128" s="15" t="n">
        <v>127</v>
      </c>
      <c r="B128" s="15" t="inlineStr">
        <is>
          <t>2022-08-24</t>
        </is>
      </c>
      <c r="C128" s="16" t="inlineStr">
        <is>
          <t>elcomercio.pe</t>
        </is>
      </c>
      <c r="D128" s="16" t="inlineStr">
        <is>
          <t>Compania de Minas Buenaventura</t>
        </is>
      </c>
      <c r="E128" s="17" t="inlineStr">
        <is>
          <t>Bolsa de Valores de Lima cierra con índices mixtos en sesión de pocas operaciones</t>
        </is>
      </c>
      <c r="F128" s="19" t="inlineStr">
        <is>
          <t>Z_indice_bursatil</t>
        </is>
      </c>
      <c r="G128" s="19" t="n"/>
      <c r="H128" s="20" t="n"/>
      <c r="I128" s="19" t="n"/>
      <c r="J128" s="18" t="n"/>
    </row>
    <row r="129" ht="28.05" customHeight="1">
      <c r="A129" s="15" t="n">
        <v>128</v>
      </c>
      <c r="B129" s="15" t="inlineStr">
        <is>
          <t>2021-04-19</t>
        </is>
      </c>
      <c r="C129" s="16" t="inlineStr">
        <is>
          <t>gestion.pe</t>
        </is>
      </c>
      <c r="D129" s="16" t="inlineStr">
        <is>
          <t>Saga Falabella</t>
        </is>
      </c>
      <c r="E129" s="17" t="inlineStr">
        <is>
          <t>El factor clave de Banco Falabella para mitigar escenarios adversos</t>
        </is>
      </c>
      <c r="F129" s="19" t="inlineStr">
        <is>
          <t>B_operacional</t>
        </is>
      </c>
      <c r="G129" s="19" t="inlineStr">
        <is>
          <t>neutral</t>
        </is>
      </c>
      <c r="H129" s="20" t="inlineStr">
        <is>
          <t>x</t>
        </is>
      </c>
      <c r="I129" s="19" t="inlineStr">
        <is>
          <t>Banco Falabella pertenece al grupo; el titular describe su gestion de riesgo. Alternativa: C_analisis_opinion.</t>
        </is>
      </c>
      <c r="J129" s="18" t="n"/>
    </row>
    <row r="130" ht="28.05" customHeight="1">
      <c r="A130" s="15" t="n">
        <v>129</v>
      </c>
      <c r="B130" s="15" t="inlineStr">
        <is>
          <t>2019-04-10</t>
        </is>
      </c>
      <c r="C130" s="16" t="inlineStr">
        <is>
          <t>elcomercio.pe</t>
        </is>
      </c>
      <c r="D130" s="16" t="inlineStr">
        <is>
          <t>InRetail Peru Corp</t>
        </is>
      </c>
      <c r="E130" s="17" t="inlineStr">
        <is>
          <t>Piura: asaltan agencia bancaria en centro comercial de Talara</t>
        </is>
      </c>
      <c r="F130" s="19" t="inlineStr">
        <is>
          <t>Z_no_relevante</t>
        </is>
      </c>
      <c r="G130" s="19" t="n"/>
      <c r="H130" s="20" t="inlineStr">
        <is>
          <t>x</t>
        </is>
      </c>
      <c r="I130" s="19" t="inlineStr">
        <is>
          <t>Asalto en una agencia dentro de un centro comercial no identificado.</t>
        </is>
      </c>
      <c r="J130" s="18" t="inlineStr">
        <is>
          <t>http://elcomercio.pe/peru/piura/piura-asaltan-agencia-bancaria-centro-comercial-talara-video-noticia-nndc-625382</t>
        </is>
      </c>
    </row>
    <row r="131" ht="28.05" customHeight="1">
      <c r="A131" s="15" t="n">
        <v>130</v>
      </c>
      <c r="B131" s="15" t="inlineStr">
        <is>
          <t>2021-09-09</t>
        </is>
      </c>
      <c r="C131" s="16" t="inlineStr">
        <is>
          <t>elcomercio.pe</t>
        </is>
      </c>
      <c r="D131" s="16" t="inlineStr">
        <is>
          <t>Alicorp</t>
        </is>
      </c>
      <c r="E131" s="17" t="inlineStr">
        <is>
          <t>Bolsa de Valores de Lima | BVL cierra la jornada con ganancias por impulso del sector minería y financiero</t>
        </is>
      </c>
      <c r="F131" s="19" t="inlineStr">
        <is>
          <t>Z_indice_bursatil</t>
        </is>
      </c>
      <c r="G131" s="19" t="n"/>
      <c r="H131" s="20" t="n"/>
      <c r="I131" s="19" t="n"/>
      <c r="J131" s="18" t="inlineStr">
        <is>
          <t>https://elcomercio.pe/economia/mercados/bolsa-de-valores-de-lima-bvl-cierra-la-jornada-con-ganancias-por-impulso-del-sector-mineria-y-financiero-nndc-noticia/</t>
        </is>
      </c>
    </row>
    <row r="132" ht="28.05" customHeight="1">
      <c r="A132" s="15" t="n">
        <v>131</v>
      </c>
      <c r="B132" s="15" t="inlineStr">
        <is>
          <t>2016-09-03</t>
        </is>
      </c>
      <c r="C132" s="16" t="inlineStr">
        <is>
          <t>elcomercio.pe</t>
        </is>
      </c>
      <c r="D132" s="16" t="inlineStr">
        <is>
          <t>InRetail Peru Corp</t>
        </is>
      </c>
      <c r="E132" s="17" t="inlineStr">
        <is>
          <t>Áncash: cae el más buscado por tráfico de drogas de Trujillo</t>
        </is>
      </c>
      <c r="F132" s="19" t="inlineStr">
        <is>
          <t>Z_no_relevante</t>
        </is>
      </c>
      <c r="G132" s="19" t="n"/>
      <c r="H132" s="20" t="n"/>
      <c r="I132" s="19" t="n"/>
      <c r="J132" s="18" t="inlineStr">
        <is>
          <t>http://elcomercio.pe/sociedad/ancash/ancash-cae-mas-buscado-trafico-drogas-trujillo-noticia-1929049</t>
        </is>
      </c>
    </row>
    <row r="133" ht="28.05" customHeight="1">
      <c r="A133" s="15" t="n">
        <v>132</v>
      </c>
      <c r="B133" s="15" t="inlineStr">
        <is>
          <t>2017-06-27</t>
        </is>
      </c>
      <c r="C133" s="16" t="inlineStr">
        <is>
          <t>elcomercio.pe</t>
        </is>
      </c>
      <c r="D133" s="16" t="inlineStr">
        <is>
          <t>Alicorp</t>
        </is>
      </c>
      <c r="E133" s="17" t="inlineStr">
        <is>
          <t>Finanzas en tiempos de ajuste: La búsqueda de ahorros pone a los proveedores en peligro</t>
        </is>
      </c>
      <c r="F133" s="19" t="inlineStr">
        <is>
          <t>Z_sector_macro</t>
        </is>
      </c>
      <c r="G133" s="19" t="n"/>
      <c r="H133" s="20" t="inlineStr">
        <is>
          <t>x</t>
        </is>
      </c>
      <c r="I133" s="19" t="inlineStr">
        <is>
          <t>Presion sobre proveedores en el mercado.</t>
        </is>
      </c>
      <c r="J133" s="18" t="inlineStr">
        <is>
          <t>http://elcomercio.pe/economia/dia-1/finanzas-tiempos-ajuste-ahorros-proveedores-peligro-437741</t>
        </is>
      </c>
    </row>
    <row r="134" ht="28.05" customHeight="1">
      <c r="A134" s="15" t="n">
        <v>133</v>
      </c>
      <c r="B134" s="15" t="inlineStr">
        <is>
          <t>2016-12-13</t>
        </is>
      </c>
      <c r="C134" s="16" t="inlineStr">
        <is>
          <t>gestion.pe</t>
        </is>
      </c>
      <c r="D134" s="16" t="inlineStr">
        <is>
          <t>Cementos Pacasmayo</t>
        </is>
      </c>
      <c r="E134" s="17" t="inlineStr">
        <is>
          <t>Piura cuenta con más de S/ 1,200 millones para ejecutar proyectos de Obras por Impuestos</t>
        </is>
      </c>
      <c r="F134" s="19" t="inlineStr">
        <is>
          <t>Z_sector_macro</t>
        </is>
      </c>
      <c r="G134" s="19" t="n"/>
      <c r="H134" s="20" t="inlineStr">
        <is>
          <t>x</t>
        </is>
      </c>
      <c r="I134" s="19" t="inlineStr">
        <is>
          <t>Fondos regionales de Obras por Impuestos.</t>
        </is>
      </c>
      <c r="J134" s="18" t="inlineStr">
        <is>
          <t>http://gestion.pe/economia/piura-cuenta-mas-s-1200-millones-ejecutar-proyectos-obras-impuestos-2177029</t>
        </is>
      </c>
    </row>
    <row r="135" ht="28.05" customHeight="1">
      <c r="A135" s="15" t="n">
        <v>134</v>
      </c>
      <c r="B135" s="15" t="inlineStr">
        <is>
          <t>2023-07-13</t>
        </is>
      </c>
      <c r="C135" s="16" t="inlineStr">
        <is>
          <t>gestion.pe</t>
        </is>
      </c>
      <c r="D135" s="16" t="inlineStr">
        <is>
          <t>Alicorp</t>
        </is>
      </c>
      <c r="E135" s="17" t="inlineStr">
        <is>
          <t>Canales digitales de venta B2B en consumo masivo como propuesta de valor para las bodegas y comercios peruanos</t>
        </is>
      </c>
      <c r="F135" s="19" t="inlineStr">
        <is>
          <t>Z_sector_macro</t>
        </is>
      </c>
      <c r="G135" s="19" t="n"/>
      <c r="H135" s="20" t="inlineStr">
        <is>
          <t>x</t>
        </is>
      </c>
      <c r="I135" s="19" t="inlineStr">
        <is>
          <t>Canal B2B del consumo masivo.</t>
        </is>
      </c>
      <c r="J135" s="18" t="inlineStr">
        <is>
          <t>https://gestion.pe/economia/empresas/canales-digitales-de-venta-b2b-en-consumo-masivo-como-propuesta-de-valor-para-las-bodegas-y-comercios-peruanos-noticia/</t>
        </is>
      </c>
    </row>
    <row r="136" ht="28.05" customHeight="1">
      <c r="A136" s="15" t="n">
        <v>135</v>
      </c>
      <c r="B136" s="15" t="inlineStr">
        <is>
          <t>2023-05-16</t>
        </is>
      </c>
      <c r="C136" s="16" t="inlineStr">
        <is>
          <t>gestion.pe</t>
        </is>
      </c>
      <c r="D136" s="16" t="inlineStr">
        <is>
          <t>Ferreycorp</t>
        </is>
      </c>
      <c r="E136" s="17" t="inlineStr">
        <is>
          <t>BVL cierra al alza mientras el foco está en las negociaciones sobre límite de deuda en EE.UU.</t>
        </is>
      </c>
      <c r="F136" s="19" t="inlineStr">
        <is>
          <t>Z_indice_bursatil</t>
        </is>
      </c>
      <c r="G136" s="19" t="n"/>
      <c r="H136" s="20" t="n"/>
      <c r="I136" s="19" t="n"/>
      <c r="J136" s="18" t="inlineStr">
        <is>
          <t>https://gestion.pe/economia/mercados/bvl-cierra-al-alza-mientras-el-foco-esta-en-las-negociaciones-sobre-limite-de-deuda-en-eeuu-noticia/</t>
        </is>
      </c>
    </row>
    <row r="137" ht="28.05" customHeight="1">
      <c r="A137" s="15" t="n">
        <v>136</v>
      </c>
      <c r="B137" s="15" t="inlineStr">
        <is>
          <t>2014-08-12</t>
        </is>
      </c>
      <c r="C137" s="16" t="inlineStr">
        <is>
          <t>elcomercio.pe</t>
        </is>
      </c>
      <c r="D137" s="16" t="inlineStr">
        <is>
          <t>Banco de Credito del Peru (BCP)</t>
        </is>
      </c>
      <c r="E137" s="17" t="inlineStr">
        <is>
          <t>Pagos realizados en bancos podrán revisarse al instante</t>
        </is>
      </c>
      <c r="F137" s="19" t="inlineStr">
        <is>
          <t>Z_sector_macro</t>
        </is>
      </c>
      <c r="G137" s="19" t="n"/>
      <c r="H137" s="20" t="inlineStr">
        <is>
          <t>x</t>
        </is>
      </c>
      <c r="I137" s="19" t="inlineStr">
        <is>
          <t>Cambio operativo del sistema de pagos, alcanza a toda la banca.</t>
        </is>
      </c>
      <c r="J137" s="18" t="inlineStr">
        <is>
          <t>http://elcomercio.pe/economia/peru/pagos-realizados-bancos-podran-revisarse-al-instante-noticia-1749416</t>
        </is>
      </c>
    </row>
    <row r="138" ht="28.05" customHeight="1">
      <c r="A138" s="15" t="n">
        <v>137</v>
      </c>
      <c r="B138" s="15" t="inlineStr">
        <is>
          <t>2023-10-06</t>
        </is>
      </c>
      <c r="C138" s="16" t="inlineStr">
        <is>
          <t>larepublica.pe</t>
        </is>
      </c>
      <c r="D138" s="16" t="inlineStr">
        <is>
          <t>Banco de Credito del Peru (BCP)</t>
        </is>
      </c>
      <c r="E138" s="17" t="inlineStr">
        <is>
          <t>Precio del dólar cierra en S/3,8280, su nivel más alto desde el 21 de febrero del 2023</t>
        </is>
      </c>
      <c r="F138" s="19" t="inlineStr">
        <is>
          <t>Z_mencion_incidental</t>
        </is>
      </c>
      <c r="G138" s="19" t="n"/>
      <c r="H138" s="20" t="n"/>
      <c r="I138" s="19" t="inlineStr">
        <is>
          <t>Tipo de cambio.</t>
        </is>
      </c>
      <c r="J138" s="18" t="inlineStr">
        <is>
          <t>https://larepublica.pe/economia/2023/10/06/precio-del-dolar-cierra-en-s38280-su-nivel-mas-alto-desde-el-21-de-febrero-del-2023-hoy-viernes-6-de-octubre-209928</t>
        </is>
      </c>
    </row>
    <row r="139" ht="28.05" customHeight="1">
      <c r="A139" s="15" t="n">
        <v>138</v>
      </c>
      <c r="B139" s="15" t="inlineStr">
        <is>
          <t>2018-03-22</t>
        </is>
      </c>
      <c r="C139" s="16" t="inlineStr">
        <is>
          <t>elcomercio.pe</t>
        </is>
      </c>
      <c r="D139" s="16" t="inlineStr">
        <is>
          <t>InRetail Peru Corp</t>
        </is>
      </c>
      <c r="E139" s="17" t="inlineStr">
        <is>
          <t>Álbum Panini: las impresionantes colas para conseguirlo</t>
        </is>
      </c>
      <c r="F139" s="19" t="inlineStr">
        <is>
          <t>Z_no_relevante</t>
        </is>
      </c>
      <c r="G139" s="19" t="n"/>
      <c r="H139" s="20" t="n"/>
      <c r="I139" s="19" t="n"/>
      <c r="J139" s="18" t="inlineStr">
        <is>
          <t>http://elcomercio.pe/mundial/album-panini-impresionantes-colas-conseguirlo-noticia-506366</t>
        </is>
      </c>
    </row>
    <row r="140" ht="28.05" customHeight="1">
      <c r="A140" s="15" t="n">
        <v>139</v>
      </c>
      <c r="B140" s="15" t="inlineStr">
        <is>
          <t>2024-02-13</t>
        </is>
      </c>
      <c r="C140" s="16" t="inlineStr">
        <is>
          <t>gestion.pe</t>
        </is>
      </c>
      <c r="D140" s="16" t="inlineStr">
        <is>
          <t>Cementos Pacasmayo</t>
        </is>
      </c>
      <c r="E140" s="17" t="inlineStr">
        <is>
          <t>Estos son los cuatro nuevos ministros de Dina Boluarte</t>
        </is>
      </c>
      <c r="F140" s="19" t="inlineStr">
        <is>
          <t>Z_no_relevante</t>
        </is>
      </c>
      <c r="G140" s="19" t="n"/>
      <c r="H140" s="20" t="n"/>
      <c r="I140" s="19" t="n"/>
      <c r="J140" s="18" t="inlineStr">
        <is>
          <t>https://gestion.pe/peru/politica/estos-son-los-cuatro-nuevos-ministros-de-dina-boluarte-noticia/</t>
        </is>
      </c>
    </row>
    <row r="141" ht="28.05" customHeight="1">
      <c r="A141" s="15" t="n">
        <v>140</v>
      </c>
      <c r="B141" s="15" t="inlineStr">
        <is>
          <t>2023-07-06</t>
        </is>
      </c>
      <c r="C141" s="16" t="inlineStr">
        <is>
          <t>gestion.pe</t>
        </is>
      </c>
      <c r="D141" s="16" t="inlineStr">
        <is>
          <t>Banco de Credito del Peru (BCP)</t>
        </is>
      </c>
      <c r="E141" s="17" t="inlineStr">
        <is>
          <t>Credicorp Capital recorta su proyección de crecimiento para Perú, los factores detrás del ajuste</t>
        </is>
      </c>
      <c r="F141" s="19" t="inlineStr">
        <is>
          <t>Z_mencion_incidental</t>
        </is>
      </c>
      <c r="G141" s="19" t="n"/>
      <c r="H141" s="20" t="n"/>
      <c r="I141" s="19" t="inlineStr">
        <is>
          <t>Proyeccion de Credicorp Capital (ver fila 103).</t>
        </is>
      </c>
      <c r="J141" s="18" t="inlineStr">
        <is>
          <t>https://gestion.pe/economia/credicorp-capital-recorta-su-proyeccion-de-crecimiento-para-peru-los-factores-detras-del-ajuste-noticia/</t>
        </is>
      </c>
    </row>
    <row r="142" ht="28.05" customHeight="1">
      <c r="A142" s="15" t="n">
        <v>141</v>
      </c>
      <c r="B142" s="15" t="inlineStr">
        <is>
          <t>2018-05-05</t>
        </is>
      </c>
      <c r="C142" s="16" t="inlineStr">
        <is>
          <t>gestion.pe</t>
        </is>
      </c>
      <c r="D142" s="16" t="inlineStr">
        <is>
          <t>InRetail Peru Corp</t>
        </is>
      </c>
      <c r="E142" s="17" t="inlineStr">
        <is>
          <t>Las 'movidas' empresariales de la semana</t>
        </is>
      </c>
      <c r="F142" s="19" t="inlineStr">
        <is>
          <t>Z_mencion_incidental</t>
        </is>
      </c>
      <c r="G142" s="19" t="n"/>
      <c r="H142" s="20" t="inlineStr">
        <is>
          <t>x</t>
        </is>
      </c>
      <c r="I142" s="19" t="inlineStr">
        <is>
          <t>Resumen de movidas empresariales de la semana.</t>
        </is>
      </c>
      <c r="J142" s="18" t="inlineStr">
        <is>
          <t>http://gestion.pe/fotogalerias/movidas-empresariales-semana-232930</t>
        </is>
      </c>
    </row>
    <row r="143" ht="28.05" customHeight="1">
      <c r="A143" s="15" t="n">
        <v>142</v>
      </c>
      <c r="B143" s="15" t="inlineStr">
        <is>
          <t>2021-12-22</t>
        </is>
      </c>
      <c r="C143" s="16" t="inlineStr">
        <is>
          <t>elcomercio.pe</t>
        </is>
      </c>
      <c r="D143" s="16" t="inlineStr">
        <is>
          <t>Banco de Credito del Peru (BCP)</t>
        </is>
      </c>
      <c r="E143" s="17" t="inlineStr">
        <is>
          <t>Premios LEC 2022: ¿Quiénes fueron los galardonados de esta edición?</t>
        </is>
      </c>
      <c r="F143" s="19" t="inlineStr">
        <is>
          <t>Z_no_relevante</t>
        </is>
      </c>
      <c r="G143" s="19" t="n"/>
      <c r="H143" s="20" t="n"/>
      <c r="I143" s="19" t="n"/>
      <c r="J143" s="18" t="inlineStr">
        <is>
          <t>https://elcomercio.pe/economia/premios-lec-2022-quienes-fueron-los-galardonados-de-esta-edicion-noticia/</t>
        </is>
      </c>
    </row>
    <row r="144" ht="28.05" customHeight="1">
      <c r="A144" s="15" t="n">
        <v>143</v>
      </c>
      <c r="B144" s="15" t="inlineStr">
        <is>
          <t>2021-04-16</t>
        </is>
      </c>
      <c r="C144" s="16" t="inlineStr">
        <is>
          <t>elcomercio.pe</t>
        </is>
      </c>
      <c r="D144" s="16" t="inlineStr">
        <is>
          <t>Ferreycorp</t>
        </is>
      </c>
      <c r="E144" s="17" t="inlineStr">
        <is>
          <t>Misión Sabor: El evento gastronómico virtual que busca ayudar a familias de extrema pobreza en el Perú</t>
        </is>
      </c>
      <c r="F144" s="19" t="inlineStr">
        <is>
          <t>Z_patrocinio_rse</t>
        </is>
      </c>
      <c r="G144" s="19" t="n"/>
      <c r="H144" s="20" t="inlineStr">
        <is>
          <t>x</t>
        </is>
      </c>
      <c r="I144" s="19" t="inlineStr">
        <is>
          <t>Evento benefico.</t>
        </is>
      </c>
      <c r="J144" s="18" t="inlineStr">
        <is>
          <t>https://elcomercio.pe/somos/estilo/mision-sabor-el-evento-gastronomico-virtual-que-busca-ayudar-a-familias-de-extrema-pobreza-en-el-peru-gastronomia-mision-huascaran-noticia/</t>
        </is>
      </c>
    </row>
    <row r="145" ht="28.05" customHeight="1">
      <c r="A145" s="15" t="n">
        <v>144</v>
      </c>
      <c r="B145" s="15" t="inlineStr">
        <is>
          <t>2014-07-18</t>
        </is>
      </c>
      <c r="C145" s="16" t="inlineStr">
        <is>
          <t>larepublica.pe</t>
        </is>
      </c>
      <c r="D145" s="16" t="inlineStr">
        <is>
          <t>Minsur</t>
        </is>
      </c>
      <c r="E145" s="17" t="inlineStr">
        <is>
          <t>Mineras invirtieron S/. 4.468 millones en proyectos sociales</t>
        </is>
      </c>
      <c r="F145" s="19" t="inlineStr">
        <is>
          <t>Z_sector_macro</t>
        </is>
      </c>
      <c r="G145" s="19" t="n"/>
      <c r="H145" s="20" t="n"/>
      <c r="I145" s="19" t="inlineStr">
        <is>
          <t>Inversion social agregada del sector minero.</t>
        </is>
      </c>
      <c r="J145" s="18" t="inlineStr">
        <is>
          <t>http://www.larepublica.pe/18-07-2014/mineras-invirtieron-soles-4468-millones-en-proyectos-sociales</t>
        </is>
      </c>
    </row>
    <row r="146" ht="28.05" customHeight="1">
      <c r="A146" s="15" t="n">
        <v>145</v>
      </c>
      <c r="B146" s="15" t="inlineStr">
        <is>
          <t>2025-02-14</t>
        </is>
      </c>
      <c r="C146" s="16" t="inlineStr">
        <is>
          <t>larepublica.pe</t>
        </is>
      </c>
      <c r="D146" s="16" t="inlineStr">
        <is>
          <t>Cementos Pacasmayo</t>
        </is>
      </c>
      <c r="E146" s="17" t="inlineStr">
        <is>
          <t>Alicorp ingresa a lista global de empresas destacadas en sostenibilidad</t>
        </is>
      </c>
      <c r="F146" s="19" t="inlineStr">
        <is>
          <t>Z_no_relevante</t>
        </is>
      </c>
      <c r="G146" s="19" t="n"/>
      <c r="H146" s="20" t="n"/>
      <c r="I146" s="19" t="inlineStr">
        <is>
          <t>La noticia es de Alicorp; la fila es Cementos Pacasmayo.</t>
        </is>
      </c>
      <c r="J146" s="18" t="inlineStr">
        <is>
          <t>https://larepublica.pe/nota-de-prensa/2025/02/14/alicorp-ingresa-a-lista-global-de-empresas-destacadas-en-sostenibilidad-402346</t>
        </is>
      </c>
    </row>
    <row r="147" ht="28.05" customHeight="1">
      <c r="A147" s="15" t="n">
        <v>146</v>
      </c>
      <c r="B147" s="15" t="inlineStr">
        <is>
          <t>2023-06-06</t>
        </is>
      </c>
      <c r="C147" s="16" t="inlineStr">
        <is>
          <t>gestion.pe</t>
        </is>
      </c>
      <c r="D147" s="16" t="inlineStr">
        <is>
          <t>Minsur</t>
        </is>
      </c>
      <c r="E147" s="17" t="inlineStr">
        <is>
          <t>Contugas: “Tenemos un proyecto para desarrollar una planta de GNL en Ica”</t>
        </is>
      </c>
      <c r="F147" s="19" t="inlineStr">
        <is>
          <t>Z_no_relevante</t>
        </is>
      </c>
      <c r="G147" s="19" t="n"/>
      <c r="H147" s="20" t="n"/>
      <c r="I147" s="19" t="inlineStr">
        <is>
          <t>Contugas: otra empresa.</t>
        </is>
      </c>
      <c r="J147" s="18" t="inlineStr">
        <is>
          <t>https://gestion.pe/economia/empresas/contugas-tenemos-un-proyecto-para-desarrollar-una-planta-de-gnl-en-ica-noticia/</t>
        </is>
      </c>
    </row>
    <row r="148" ht="28.05" customHeight="1">
      <c r="A148" s="15" t="n">
        <v>147</v>
      </c>
      <c r="B148" s="15" t="inlineStr">
        <is>
          <t>2017-10-25</t>
        </is>
      </c>
      <c r="C148" s="16" t="inlineStr">
        <is>
          <t>gestion.pe</t>
        </is>
      </c>
      <c r="D148" s="16" t="inlineStr">
        <is>
          <t>Alicorp</t>
        </is>
      </c>
      <c r="E148" s="17" t="inlineStr">
        <is>
          <t>BVL cierra con índices mixtos mientras acciones de cupríferas caen</t>
        </is>
      </c>
      <c r="F148" s="19" t="inlineStr">
        <is>
          <t>Z_indice_bursatil</t>
        </is>
      </c>
      <c r="G148" s="19" t="n"/>
      <c r="H148" s="20" t="n"/>
      <c r="I148" s="19" t="n"/>
      <c r="J148" s="18" t="inlineStr">
        <is>
          <t>https://gestion.pe/mercados/bvl-cierra-indices-mixtos-mientras-acciones-cupriferas-caen-2203278</t>
        </is>
      </c>
    </row>
    <row r="149" ht="28.05" customHeight="1">
      <c r="A149" s="15" t="n">
        <v>148</v>
      </c>
      <c r="B149" s="15" t="inlineStr">
        <is>
          <t>2024-05-15</t>
        </is>
      </c>
      <c r="C149" s="16" t="inlineStr">
        <is>
          <t>gestion.pe</t>
        </is>
      </c>
      <c r="D149" s="16" t="inlineStr">
        <is>
          <t>Luz del Sur</t>
        </is>
      </c>
      <c r="E149" s="17" t="inlineStr">
        <is>
          <t>BVL cerró al alza tras alivio por datos de inflación en Estados Unidos</t>
        </is>
      </c>
      <c r="F149" s="19" t="inlineStr">
        <is>
          <t>Z_indice_bursatil</t>
        </is>
      </c>
      <c r="G149" s="19" t="n"/>
      <c r="H149" s="20" t="n"/>
      <c r="I149" s="19" t="n"/>
      <c r="J149" s="18" t="inlineStr">
        <is>
          <t>https://gestion.pe/economia/mercados/bvl-cerro-al-alza-tras-alivio-por-datos-de-inflacion-en-estados-unidos-noticia/</t>
        </is>
      </c>
    </row>
    <row r="150" ht="28.05" customHeight="1">
      <c r="A150" s="15" t="n">
        <v>149</v>
      </c>
      <c r="B150" s="15" t="inlineStr">
        <is>
          <t>2024-05-27</t>
        </is>
      </c>
      <c r="C150" s="16" t="inlineStr">
        <is>
          <t>gestion.pe</t>
        </is>
      </c>
      <c r="D150" s="16" t="inlineStr">
        <is>
          <t>Minsur</t>
        </is>
      </c>
      <c r="E150" s="17" t="inlineStr">
        <is>
          <t>Minsur, entre nueva exploración en Puno y la mira en tierras raras en Brasil</t>
        </is>
      </c>
      <c r="F150" s="19" t="inlineStr">
        <is>
          <t>B_estrategia_inversion</t>
        </is>
      </c>
      <c r="G150" s="19" t="inlineStr">
        <is>
          <t>positivo</t>
        </is>
      </c>
      <c r="H150" s="20" t="n"/>
      <c r="I150" s="19" t="inlineStr">
        <is>
          <t>Exploracion en Puno y tierras raras en Brasil.</t>
        </is>
      </c>
      <c r="J150" s="18" t="inlineStr">
        <is>
          <t>https://gestion.pe/economia/empresas/minsur-entre-nueva-exploracion-en-puno-y-la-mira-en-tierras-raras-en-brasil-empresas-breca-mineria-estano-cobre-noticia/</t>
        </is>
      </c>
    </row>
    <row r="151" ht="28.05" customHeight="1">
      <c r="A151" s="15" t="n">
        <v>150</v>
      </c>
      <c r="B151" s="15" t="inlineStr">
        <is>
          <t>2022-10-19</t>
        </is>
      </c>
      <c r="C151" s="16" t="inlineStr">
        <is>
          <t>gestion.pe</t>
        </is>
      </c>
      <c r="D151" s="16" t="inlineStr">
        <is>
          <t>Compania de Minas Buenaventura</t>
        </is>
      </c>
      <c r="E151" s="17" t="inlineStr">
        <is>
          <t>Bolsa de Valores de Lima cierra con pérdidas en medio de renovadas preocupaciones sobre la política monetaria</t>
        </is>
      </c>
      <c r="F151" s="19" t="inlineStr">
        <is>
          <t>Z_indice_bursatil</t>
        </is>
      </c>
      <c r="G151" s="19" t="n"/>
      <c r="H151" s="20" t="n"/>
      <c r="I151" s="19" t="n"/>
      <c r="J151" s="18" t="inlineStr">
        <is>
          <t>https://gestion.pe/economia/mercados/bolsa-de-valores-de-lima-cierra-con-perdidas-en-medio-de-renovadas-preocupaciones-sobre-la-politica-monetaria-rmmn-noticia/</t>
        </is>
      </c>
    </row>
    <row r="152" ht="28.05" customHeight="1">
      <c r="A152" s="15" t="n">
        <v>151</v>
      </c>
      <c r="B152" s="15" t="inlineStr">
        <is>
          <t>2022-10-23</t>
        </is>
      </c>
      <c r="C152" s="16" t="inlineStr">
        <is>
          <t>larepublica.pe</t>
        </is>
      </c>
      <c r="D152" s="16" t="inlineStr">
        <is>
          <t>Banco de Credito del Peru (BCP)</t>
        </is>
      </c>
      <c r="E152" s="17" t="inlineStr">
        <is>
          <t>Precio del euro en Perú hoy, domingo 23 de octubre de 2022: ¿a cuánto se cotiza la moneda?</t>
        </is>
      </c>
      <c r="F152" s="19" t="inlineStr">
        <is>
          <t>Z_mencion_incidental</t>
        </is>
      </c>
      <c r="G152" s="19" t="n"/>
      <c r="H152" s="20" t="n"/>
      <c r="I152" s="19" t="inlineStr">
        <is>
          <t>Cotizacion del euro (ver fila 9).</t>
        </is>
      </c>
      <c r="J152" s="18" t="inlineStr">
        <is>
          <t>https://larepublica.pe/economia/2022/10/23/precio-del-euro-hoy-en-peru-domingo-23-de-octubre-de-2022-cual-es-la-cotizacion-de-la-moneda-euro-a-soles-euro-a-dolares-atmp/</t>
        </is>
      </c>
    </row>
    <row r="153" ht="28.05" customHeight="1">
      <c r="A153" s="15" t="n">
        <v>152</v>
      </c>
      <c r="B153" s="15" t="inlineStr">
        <is>
          <t>2021-04-01</t>
        </is>
      </c>
      <c r="C153" s="16" t="inlineStr">
        <is>
          <t>elcomercio.pe</t>
        </is>
      </c>
      <c r="D153" s="16" t="inlineStr">
        <is>
          <t>Luz del Sur</t>
        </is>
      </c>
      <c r="E153" s="17" t="inlineStr">
        <is>
          <t>Consumo de pescado en Semana Santa: ¿Sabes qué especie te venden? Es posible que te estén dando otra y pagues hasta ocho veces más</t>
        </is>
      </c>
      <c r="F153" s="19" t="inlineStr">
        <is>
          <t>Z_no_relevante</t>
        </is>
      </c>
      <c r="G153" s="19" t="n"/>
      <c r="H153" s="20" t="n"/>
      <c r="I153" s="19" t="n"/>
      <c r="J153" s="18" t="inlineStr">
        <is>
          <t>https://elcomercio.pe/economia/peru/consumo-de-pescado-en-semana-santa-sabes-que-especie-te-venden-es-posible-que-te-esten-dando-otra-y-pagues-hasta-ocho-veces-mas-cebiche-ceviche-lisa-perico-noticia/</t>
        </is>
      </c>
    </row>
    <row r="154" ht="28.05" customHeight="1">
      <c r="A154" s="15" t="n">
        <v>153</v>
      </c>
      <c r="B154" s="15" t="inlineStr">
        <is>
          <t>2025-04-02</t>
        </is>
      </c>
      <c r="C154" s="16" t="inlineStr">
        <is>
          <t>gestion.pe</t>
        </is>
      </c>
      <c r="D154" s="16" t="inlineStr">
        <is>
          <t>Saga Falabella</t>
        </is>
      </c>
      <c r="E154" s="17" t="inlineStr">
        <is>
          <t>Grupo Falabella acuerda la venta de su participación en Juan Valdez a Empresas Copec</t>
        </is>
      </c>
      <c r="F154" s="19" t="inlineStr">
        <is>
          <t>A_ma_reestructuracion</t>
        </is>
      </c>
      <c r="G154" s="19" t="inlineStr">
        <is>
          <t>neutral</t>
        </is>
      </c>
      <c r="H154" s="20" t="n"/>
      <c r="I154" s="19" t="inlineStr">
        <is>
          <t>Venta de la participacion en Juan Valdez.</t>
        </is>
      </c>
      <c r="J154" s="18" t="inlineStr">
        <is>
          <t>https://gestion.pe/economia/empresas/grupo-falabella-acuerda-la-venta-de-su-participacion-en-juan-valdez-a-empresas-copec-noticia/</t>
        </is>
      </c>
    </row>
    <row r="155" ht="28.05" customHeight="1">
      <c r="A155" s="15" t="n">
        <v>154</v>
      </c>
      <c r="B155" s="15" t="inlineStr">
        <is>
          <t>2016-07-20</t>
        </is>
      </c>
      <c r="C155" s="16" t="inlineStr">
        <is>
          <t>elcomercio.pe</t>
        </is>
      </c>
      <c r="D155" s="16" t="inlineStr">
        <is>
          <t>Alicorp</t>
        </is>
      </c>
      <c r="E155" s="17" t="inlineStr">
        <is>
          <t>Credicorp incluyó acciones de InRetail y Ferreycorp para julio</t>
        </is>
      </c>
      <c r="F155" s="19" t="inlineStr">
        <is>
          <t>Z_mencion_incidental</t>
        </is>
      </c>
      <c r="G155" s="19" t="n"/>
      <c r="H155" s="20" t="inlineStr">
        <is>
          <t>x</t>
        </is>
      </c>
      <c r="I155" s="19" t="inlineStr">
        <is>
          <t>Lista de acciones recomendadas por Credicorp; la fila es Alicorp.</t>
        </is>
      </c>
      <c r="J155" s="18" t="inlineStr">
        <is>
          <t>http://elcomercio.pe/economia/peru/credicorp-incluyo-acciones-inretail-y-ferreycorp-julio-noticia-1918086</t>
        </is>
      </c>
    </row>
    <row r="156" ht="28.05" customHeight="1">
      <c r="A156" s="15" t="n">
        <v>155</v>
      </c>
      <c r="B156" s="15" t="inlineStr">
        <is>
          <t>2023-09-19</t>
        </is>
      </c>
      <c r="C156" s="16" t="inlineStr">
        <is>
          <t>gestion.pe</t>
        </is>
      </c>
      <c r="D156" s="16" t="inlineStr">
        <is>
          <t>Banco de Credito del Peru (BCP)</t>
        </is>
      </c>
      <c r="E156" s="17" t="inlineStr">
        <is>
          <t>El futuro TEC de las 10 Empresas Más Admiradas del 2023</t>
        </is>
      </c>
      <c r="F156" s="19" t="inlineStr">
        <is>
          <t>Z_mencion_incidental</t>
        </is>
      </c>
      <c r="G156" s="19" t="n"/>
      <c r="H156" s="20" t="n"/>
      <c r="I156" s="19" t="inlineStr">
        <is>
          <t>Ranking de empresas admiradas.</t>
        </is>
      </c>
      <c r="J156" s="18" t="inlineStr">
        <is>
          <t>https://gestion.pe/economia/empresas/el-futuro-tec-de-las-10-empresas-mas-admiradas-del-2023-alicorp-bcp-antamina-gloria-backus-noticia/</t>
        </is>
      </c>
    </row>
    <row r="157" ht="28.05" customHeight="1">
      <c r="A157" s="15" t="n">
        <v>156</v>
      </c>
      <c r="B157" s="15" t="inlineStr">
        <is>
          <t>2025-05-11</t>
        </is>
      </c>
      <c r="C157" s="16" t="inlineStr">
        <is>
          <t>larepublica.pe</t>
        </is>
      </c>
      <c r="D157" s="16" t="inlineStr">
        <is>
          <t>Banco de Credito del Peru (BCP)</t>
        </is>
      </c>
      <c r="E157" s="17" t="inlineStr">
        <is>
          <t>Así puedes activar múltiples cuentas en Yape en 2025: solo necesitas cumplir este requisito</t>
        </is>
      </c>
      <c r="F157" s="19" t="inlineStr">
        <is>
          <t>Z_marketing_promocion</t>
        </is>
      </c>
      <c r="G157" s="19" t="n"/>
      <c r="H157" s="20" t="inlineStr">
        <is>
          <t>x</t>
        </is>
      </c>
      <c r="I157" s="19" t="inlineStr">
        <is>
          <t>EJEMPLAR de instructivos de producto de Yape: no hay hecho corporativo. Familia con 201, 269, 514.</t>
        </is>
      </c>
      <c r="J157" s="18" t="inlineStr">
        <is>
          <t>https://larepublica.pe/economia/2025/05/11/asi-puedes-activar-multiples-cuentas-en-yape-en-2025-solo-necesitas-cumplir-este-requisito-atmp-185284</t>
        </is>
      </c>
    </row>
    <row r="158" ht="28.05" customHeight="1">
      <c r="A158" s="15" t="n">
        <v>157</v>
      </c>
      <c r="B158" s="15" t="inlineStr">
        <is>
          <t>2019-02-25</t>
        </is>
      </c>
      <c r="C158" s="16" t="inlineStr">
        <is>
          <t>gestion.pe</t>
        </is>
      </c>
      <c r="D158" s="16" t="inlineStr">
        <is>
          <t>Luz del Sur</t>
        </is>
      </c>
      <c r="E158" s="17" t="inlineStr">
        <is>
          <t>Sempra Energy iniciará en marzo proceso para vender unidades en Perú y Chile</t>
        </is>
      </c>
      <c r="F158" s="19" t="inlineStr">
        <is>
          <t>A_ma_reestructuracion</t>
        </is>
      </c>
      <c r="G158" s="19" t="inlineStr">
        <is>
          <t>neutral</t>
        </is>
      </c>
      <c r="H158" s="20" t="n"/>
      <c r="I158" s="19" t="inlineStr">
        <is>
          <t>Sempra vende sus unidades en Peru: es la venta de Luz del Sur aunque no la nombre.</t>
        </is>
      </c>
      <c r="J158" s="18" t="inlineStr">
        <is>
          <t>http://gestion.pe/economia/empresas/sempra-energy-iniciara-marzo-proceso-vender-unidades-peru-chile-259708</t>
        </is>
      </c>
    </row>
    <row r="159" ht="28.05" customHeight="1">
      <c r="A159" s="15" t="n">
        <v>158</v>
      </c>
      <c r="B159" s="15" t="inlineStr">
        <is>
          <t>2025-11-25</t>
        </is>
      </c>
      <c r="C159" s="16" t="inlineStr">
        <is>
          <t>larepublica.pe</t>
        </is>
      </c>
      <c r="D159" s="16" t="inlineStr">
        <is>
          <t>Banco de Credito del Peru (BCP)</t>
        </is>
      </c>
      <c r="E159" s="17" t="inlineStr">
        <is>
          <t>Peruanos con DNI vencido o extraviado sí podrán viajar a nivel nacional, pero deben reemplazarlo presentando estos otros documentos en 2025</t>
        </is>
      </c>
      <c r="F159" s="19" t="inlineStr">
        <is>
          <t>Z_no_relevante</t>
        </is>
      </c>
      <c r="G159" s="19" t="n"/>
      <c r="H159" s="20" t="n"/>
      <c r="I159" s="19" t="n"/>
      <c r="J159" s="18" t="inlineStr">
        <is>
          <t>https://larepublica.pe/sociedad/2025/11/25/peruanos-con-dni-vencido-o-extraviado-si-podran-viajar-a-nivel-nacional-pero-deben-reemplazarlo-presentando-estos-otros-documentos-en-2025-atmp-1426550</t>
        </is>
      </c>
    </row>
    <row r="160" ht="28.05" customHeight="1">
      <c r="A160" s="15" t="n">
        <v>159</v>
      </c>
      <c r="B160" s="15" t="inlineStr">
        <is>
          <t>2021-12-14</t>
        </is>
      </c>
      <c r="C160" s="16" t="inlineStr">
        <is>
          <t>larepublica.pe</t>
        </is>
      </c>
      <c r="D160" s="16" t="inlineStr">
        <is>
          <t>Banco de Credito del Peru (BCP)</t>
        </is>
      </c>
      <c r="E160" s="17" t="inlineStr">
        <is>
          <t>Precio del dólar hoy: ¿a cuánto cotiza este martes 14 de diciembre del 2021?</t>
        </is>
      </c>
      <c r="F160" s="19" t="inlineStr">
        <is>
          <t>Z_mencion_incidental</t>
        </is>
      </c>
      <c r="G160" s="19" t="n"/>
      <c r="H160" s="20" t="n"/>
      <c r="I160" s="19" t="inlineStr">
        <is>
          <t>Tipo de cambio.</t>
        </is>
      </c>
      <c r="J160" s="18" t="inlineStr">
        <is>
          <t>https://larepublica.pe/datos-lr/respuestas/2021/12/14/a-cuanto-esta-el-dolar-hoy-tipo-de-cambio-este-martes-14-de-diciembre-atmp/</t>
        </is>
      </c>
    </row>
    <row r="161" ht="28.05" customHeight="1">
      <c r="A161" s="15" t="n">
        <v>160</v>
      </c>
      <c r="B161" s="15" t="inlineStr">
        <is>
          <t>2023-03-31</t>
        </is>
      </c>
      <c r="C161" s="16" t="inlineStr">
        <is>
          <t>gestion.pe</t>
        </is>
      </c>
      <c r="D161" s="16" t="inlineStr">
        <is>
          <t>Banco de Credito del Peru (BCP)</t>
        </is>
      </c>
      <c r="E161" s="17" t="inlineStr">
        <is>
          <t>¿Hacia dónde va Joinnus con Credicorp?: adquisición habría superado los US$ 10 millones</t>
        </is>
      </c>
      <c r="F161" s="19" t="inlineStr">
        <is>
          <t>A_ma_reestructuracion</t>
        </is>
      </c>
      <c r="G161" s="19" t="inlineStr">
        <is>
          <t>neutral</t>
        </is>
      </c>
      <c r="H161" s="20" t="n"/>
      <c r="I161" s="19" t="inlineStr">
        <is>
          <t>Credicorp (grupo BCP) adquiere Joinnus.</t>
        </is>
      </c>
      <c r="J161" s="18" t="inlineStr">
        <is>
          <t>https://gestion.pe/economia/empresas/credicorp-joinnus-startup-peru-compra-negocios-hacia-donde-va-joinnus-con-credicorp-adquisicion-habria-superado-los-us-10-millones-noticia/</t>
        </is>
      </c>
    </row>
    <row r="162" ht="28.05" customHeight="1">
      <c r="A162" s="15" t="n">
        <v>161</v>
      </c>
      <c r="B162" s="15" t="inlineStr">
        <is>
          <t>2023-02-21</t>
        </is>
      </c>
      <c r="C162" s="16" t="inlineStr">
        <is>
          <t>gestion.pe</t>
        </is>
      </c>
      <c r="D162" s="16" t="inlineStr">
        <is>
          <t>Luz del Sur</t>
        </is>
      </c>
      <c r="E162" s="17" t="inlineStr">
        <is>
          <t>BVL cierra a la baja tras datos en EE.UU. y en víspera de minutas de la Fed</t>
        </is>
      </c>
      <c r="F162" s="19" t="inlineStr">
        <is>
          <t>Z_indice_bursatil</t>
        </is>
      </c>
      <c r="G162" s="19" t="n"/>
      <c r="H162" s="20" t="n"/>
      <c r="I162" s="19" t="n"/>
      <c r="J162" s="18" t="inlineStr">
        <is>
          <t>https://gestion.pe/economia/mercados/bvl-cierra-a-la-baja-tras-datos-en-eeuu-y-en-vispera-de-minutas-de-la-fed-noticia/</t>
        </is>
      </c>
    </row>
    <row r="163" ht="28.05" customHeight="1">
      <c r="A163" s="15" t="n">
        <v>162</v>
      </c>
      <c r="B163" s="15" t="inlineStr">
        <is>
          <t>2023-09-18</t>
        </is>
      </c>
      <c r="C163" s="16" t="inlineStr">
        <is>
          <t>gestion.pe</t>
        </is>
      </c>
      <c r="D163" s="16" t="inlineStr">
        <is>
          <t>Minsur</t>
        </is>
      </c>
      <c r="E163" s="17" t="inlineStr">
        <is>
          <t>Recaudación minera | los factores detrás de una caída de 56% a julio | Minería | Canon | ECONOMIA</t>
        </is>
      </c>
      <c r="F163" s="19" t="inlineStr">
        <is>
          <t>Z_sector_macro</t>
        </is>
      </c>
      <c r="G163" s="19" t="n"/>
      <c r="H163" s="20" t="n"/>
      <c r="I163" s="19" t="inlineStr">
        <is>
          <t>Recaudacion y canon del sector minero.</t>
        </is>
      </c>
      <c r="J163" s="18" t="inlineStr">
        <is>
          <t>https://gestion.pe/economia/recaudacion-minera-se-redujo-a-mas-de-la-mitad-entre-enero-y-julio-noticia/</t>
        </is>
      </c>
    </row>
    <row r="164" ht="28.05" customHeight="1">
      <c r="A164" s="15" t="n">
        <v>163</v>
      </c>
      <c r="B164" s="15" t="inlineStr">
        <is>
          <t>2024-03-06</t>
        </is>
      </c>
      <c r="C164" s="16" t="inlineStr">
        <is>
          <t>gestion.pe</t>
        </is>
      </c>
      <c r="D164" s="16" t="inlineStr">
        <is>
          <t>Alicorp</t>
        </is>
      </c>
      <c r="E164" s="17" t="inlineStr">
        <is>
          <t>BVL cerró a la baja tras comentarios de jefe de la Reserva Federal</t>
        </is>
      </c>
      <c r="F164" s="19" t="inlineStr">
        <is>
          <t>Z_indice_bursatil</t>
        </is>
      </c>
      <c r="G164" s="19" t="n"/>
      <c r="H164" s="20" t="n"/>
      <c r="I164" s="19" t="n"/>
      <c r="J164" s="18" t="inlineStr">
        <is>
          <t>https://gestion.pe/economia/mercados/bvl-cerro-a-la-baja-tras-comentarios-de-jefe-de-la-reserva-federal-noticia/</t>
        </is>
      </c>
    </row>
    <row r="165" ht="28.05" customHeight="1">
      <c r="A165" s="15" t="n">
        <v>164</v>
      </c>
      <c r="B165" s="15" t="inlineStr">
        <is>
          <t>2023-01-10</t>
        </is>
      </c>
      <c r="C165" s="16" t="inlineStr">
        <is>
          <t>larepublica.pe</t>
        </is>
      </c>
      <c r="D165" s="16" t="inlineStr">
        <is>
          <t>Banco de Credito del Peru (BCP)</t>
        </is>
      </c>
      <c r="E165" s="17" t="inlineStr">
        <is>
          <t>Precio del dólar cierra a la baja y llega a S/3,7970 este martes 10 de enero</t>
        </is>
      </c>
      <c r="F165" s="19" t="inlineStr">
        <is>
          <t>Z_mencion_incidental</t>
        </is>
      </c>
      <c r="G165" s="19" t="n"/>
      <c r="H165" s="20" t="n"/>
      <c r="I165" s="19" t="inlineStr">
        <is>
          <t>Tipo de cambio.</t>
        </is>
      </c>
      <c r="J165" s="18" t="inlineStr">
        <is>
          <t>https://larepublica.pe/economia/2023/01/10/precio-del-dolar-cierra-a-la-baja-y-llega-a-s37970-este-martes-10-de-enero/</t>
        </is>
      </c>
    </row>
    <row r="166" ht="28.05" customHeight="1">
      <c r="A166" s="15" t="n">
        <v>165</v>
      </c>
      <c r="B166" s="15" t="inlineStr">
        <is>
          <t>2023-09-02</t>
        </is>
      </c>
      <c r="C166" s="16" t="inlineStr">
        <is>
          <t>larepublica.pe</t>
        </is>
      </c>
      <c r="D166" s="16" t="inlineStr">
        <is>
          <t>Aceros Arequipa</t>
        </is>
      </c>
      <c r="E166" s="17" t="inlineStr">
        <is>
          <t>'Dios Araña' en Lambayeque: ¿dónde queda y junto a qué otras sorprendentes esculturas está?</t>
        </is>
      </c>
      <c r="F166" s="19" t="inlineStr">
        <is>
          <t>Z_no_relevante</t>
        </is>
      </c>
      <c r="G166" s="19" t="n"/>
      <c r="H166" s="20" t="n"/>
      <c r="I166" s="19" t="n"/>
      <c r="J166" s="18" t="n"/>
    </row>
    <row r="167" ht="28.05" customHeight="1">
      <c r="A167" s="15" t="n">
        <v>166</v>
      </c>
      <c r="B167" s="15" t="inlineStr">
        <is>
          <t>2016-08-23</t>
        </is>
      </c>
      <c r="C167" s="16" t="inlineStr">
        <is>
          <t>gestion.pe</t>
        </is>
      </c>
      <c r="D167" s="16" t="inlineStr">
        <is>
          <t>Ferreycorp</t>
        </is>
      </c>
      <c r="E167" s="17" t="inlineStr">
        <is>
          <t>Mincetur: Llegada de turistas internacionales creció 6.2% en el primer semestre de 2016</t>
        </is>
      </c>
      <c r="F167" s="19" t="inlineStr">
        <is>
          <t>Z_no_relevante</t>
        </is>
      </c>
      <c r="G167" s="19" t="n"/>
      <c r="H167" s="20" t="n"/>
      <c r="I167" s="19" t="n"/>
      <c r="J167" s="18" t="inlineStr">
        <is>
          <t>http://gestion.pe/economia/mincetur-llegada-turistas-internacionales-crecio-62-primer-semestre-2016-2168527</t>
        </is>
      </c>
    </row>
    <row r="168" ht="28.05" customHeight="1">
      <c r="A168" s="15" t="n">
        <v>167</v>
      </c>
      <c r="B168" s="15" t="inlineStr">
        <is>
          <t>2023-12-21</t>
        </is>
      </c>
      <c r="C168" s="16" t="inlineStr">
        <is>
          <t>larepublica.pe</t>
        </is>
      </c>
      <c r="D168" s="16" t="inlineStr">
        <is>
          <t>InRetail Peru Corp</t>
        </is>
      </c>
      <c r="E168" s="17" t="inlineStr">
        <is>
          <t>Youtuber prueba panetones de supermercados y revela cuál es más rico: "Por el precio está muy bien"</t>
        </is>
      </c>
      <c r="F168" s="19" t="inlineStr">
        <is>
          <t>Z_mencion_incidental</t>
        </is>
      </c>
      <c r="G168" s="19" t="n"/>
      <c r="H168" s="20" t="inlineStr">
        <is>
          <t>x</t>
        </is>
      </c>
      <c r="I168" s="19" t="inlineStr">
        <is>
          <t>Prueba de productos de supermercados sin hecho corporativo.</t>
        </is>
      </c>
      <c r="J168" s="18" t="inlineStr">
        <is>
          <t>https://larepublica.pe/tendencias/2023/12/21/youtuber-prueba-panetones-de-supermercados-y-sorprende-al-revelar-cual-es-el-mas-rico-por-el-precio-esta-mas-que-bien-evat-1559250</t>
        </is>
      </c>
    </row>
    <row r="169" ht="28.05" customHeight="1">
      <c r="A169" s="15" t="n">
        <v>168</v>
      </c>
      <c r="B169" s="15" t="inlineStr">
        <is>
          <t>2024-08-23</t>
        </is>
      </c>
      <c r="C169" s="16" t="inlineStr">
        <is>
          <t>larepublica.pe</t>
        </is>
      </c>
      <c r="D169" s="16" t="inlineStr">
        <is>
          <t>Aceros Arequipa</t>
        </is>
      </c>
      <c r="E169" s="17" t="inlineStr">
        <is>
          <t>Aceros Arequipa invierte más de s/. 800,000 en educación escolar en concurso nacional de matemática</t>
        </is>
      </c>
      <c r="F169" s="19" t="inlineStr">
        <is>
          <t>Z_patrocinio_rse</t>
        </is>
      </c>
      <c r="G169" s="19" t="n"/>
      <c r="H169" s="20" t="n"/>
      <c r="I169" s="19" t="inlineStr">
        <is>
          <t>Inversion en educacion escolar.</t>
        </is>
      </c>
      <c r="J169" s="18" t="n"/>
    </row>
    <row r="170" ht="28.05" customHeight="1">
      <c r="A170" s="15" t="n">
        <v>169</v>
      </c>
      <c r="B170" s="15" t="inlineStr">
        <is>
          <t>2020-05-03</t>
        </is>
      </c>
      <c r="C170" s="16" t="inlineStr">
        <is>
          <t>elcomercio.pe</t>
        </is>
      </c>
      <c r="D170" s="16" t="inlineStr">
        <is>
          <t>Luz del Sur</t>
        </is>
      </c>
      <c r="E170" s="17" t="inlineStr">
        <is>
          <t>Ahora Perú: restaurantes que buscan reanudar actividades con servicio de deilvery podrán hacerlo en 10 días</t>
        </is>
      </c>
      <c r="F170" s="19" t="inlineStr">
        <is>
          <t>Z_no_relevante</t>
        </is>
      </c>
      <c r="G170" s="19" t="n"/>
      <c r="H170" s="20" t="n"/>
      <c r="I170" s="19" t="n"/>
      <c r="J170" s="18" t="inlineStr">
        <is>
          <t>https://elcomercio.pe/economia/peru/coronavirus-peru-restaurantes-que-buscan-reanudar-actividades-con-servicio-de-deilvery-podran-hacerlo-en-10-dias-estima-ahora-peru-covid-19-nndc-noticia/</t>
        </is>
      </c>
    </row>
    <row r="171" ht="28.05" customHeight="1">
      <c r="A171" s="15" t="n">
        <v>170</v>
      </c>
      <c r="B171" s="15" t="inlineStr">
        <is>
          <t>2018-08-08</t>
        </is>
      </c>
      <c r="C171" s="16" t="inlineStr">
        <is>
          <t>gestion.pe</t>
        </is>
      </c>
      <c r="D171" s="16" t="inlineStr">
        <is>
          <t>Alicorp</t>
        </is>
      </c>
      <c r="E171" s="17" t="inlineStr">
        <is>
          <t>BVL cierra estable con movimientos de inversionistas institucionales</t>
        </is>
      </c>
      <c r="F171" s="19" t="inlineStr">
        <is>
          <t>Z_indice_bursatil</t>
        </is>
      </c>
      <c r="G171" s="19" t="n"/>
      <c r="H171" s="20" t="n"/>
      <c r="I171" s="19" t="n"/>
      <c r="J171" s="18" t="inlineStr">
        <is>
          <t>http://gestion.pe/economia/mercados/bvl-cierra-estable-movimientos-inversionistas-institucionales-240983</t>
        </is>
      </c>
    </row>
    <row r="172" ht="28.05" customHeight="1">
      <c r="A172" s="15" t="n">
        <v>171</v>
      </c>
      <c r="B172" s="15" t="inlineStr">
        <is>
          <t>2014-08-03</t>
        </is>
      </c>
      <c r="C172" s="16" t="inlineStr">
        <is>
          <t>larepublica.pe</t>
        </is>
      </c>
      <c r="D172" s="16" t="inlineStr">
        <is>
          <t>Luz del Sur</t>
        </is>
      </c>
      <c r="E172" s="17" t="inlineStr">
        <is>
          <t>Se viene una privatización encubierta de Electroperú con alzas en las tarifas</t>
        </is>
      </c>
      <c r="F172" s="19" t="inlineStr">
        <is>
          <t>Z_sector_macro</t>
        </is>
      </c>
      <c r="G172" s="19" t="n"/>
      <c r="H172" s="20" t="inlineStr">
        <is>
          <t>x</t>
        </is>
      </c>
      <c r="I172" s="19" t="inlineStr">
        <is>
          <t>Electroperu y tarifas: entorno del sector electrico.</t>
        </is>
      </c>
      <c r="J172" s="18" t="inlineStr">
        <is>
          <t>http://www.larepublica.pe/04-08-2014/se-viene-una-privatizacion-encubierta-de-electroperu-con-alzas-en-las-tarifas</t>
        </is>
      </c>
    </row>
    <row r="173" ht="28.05" customHeight="1">
      <c r="A173" s="15" t="n">
        <v>172</v>
      </c>
      <c r="B173" s="15" t="inlineStr">
        <is>
          <t>2014-04-16</t>
        </is>
      </c>
      <c r="C173" s="16" t="inlineStr">
        <is>
          <t>larepublica.pe</t>
        </is>
      </c>
      <c r="D173" s="16" t="inlineStr">
        <is>
          <t>Saga Falabella</t>
        </is>
      </c>
      <c r="E173" s="17" t="inlineStr">
        <is>
          <t>Lista completa de los ganadores de los Premios Anda 2014</t>
        </is>
      </c>
      <c r="F173" s="19" t="inlineStr">
        <is>
          <t>Z_mencion_incidental</t>
        </is>
      </c>
      <c r="G173" s="19" t="n"/>
      <c r="H173" s="20" t="inlineStr">
        <is>
          <t>x</t>
        </is>
      </c>
      <c r="I173" s="19" t="inlineStr">
        <is>
          <t>Lista de ganadores de premios de publicidad.</t>
        </is>
      </c>
      <c r="J173" s="18" t="n"/>
    </row>
    <row r="174" ht="28.05" customHeight="1">
      <c r="A174" s="15" t="n">
        <v>173</v>
      </c>
      <c r="B174" s="15" t="inlineStr">
        <is>
          <t>2024-12-12</t>
        </is>
      </c>
      <c r="C174" s="16" t="inlineStr">
        <is>
          <t>gestion.pe</t>
        </is>
      </c>
      <c r="D174" s="16" t="inlineStr">
        <is>
          <t>Alicorp</t>
        </is>
      </c>
      <c r="E174" s="17" t="inlineStr">
        <is>
          <t>Bauducco: panetones de 4 kilos y expansión en Perú con nuevo distribuidor</t>
        </is>
      </c>
      <c r="F174" s="19" t="inlineStr">
        <is>
          <t>Z_sector_macro</t>
        </is>
      </c>
      <c r="G174" s="19" t="n"/>
      <c r="H174" s="20" t="inlineStr">
        <is>
          <t>x</t>
        </is>
      </c>
      <c r="I174" s="19" t="inlineStr">
        <is>
          <t>Expansion de un competidor en panetones.</t>
        </is>
      </c>
      <c r="J174" s="18" t="inlineStr">
        <is>
          <t>https://gestion.pe/economia/empresas/bauducco-panetones-de-4-kilos-y-expansion-en-peru-con-nuevo-distribuidor-panetones-campana-navidena-yichang-yape-pedidosya-noticia/</t>
        </is>
      </c>
    </row>
    <row r="175" ht="28.05" customHeight="1">
      <c r="A175" s="15" t="n">
        <v>174</v>
      </c>
      <c r="B175" s="15" t="inlineStr">
        <is>
          <t>2023-10-03</t>
        </is>
      </c>
      <c r="C175" s="16" t="inlineStr">
        <is>
          <t>gestion.pe</t>
        </is>
      </c>
      <c r="D175" s="16" t="inlineStr">
        <is>
          <t>Luz del Sur</t>
        </is>
      </c>
      <c r="E175" s="17" t="inlineStr">
        <is>
          <t>Luz del Sur se reordena: entra en vigencia concentración de acciones en una de sus firmas</t>
        </is>
      </c>
      <c r="F175" s="19" t="inlineStr">
        <is>
          <t>A_ma_reestructuracion</t>
        </is>
      </c>
      <c r="G175" s="19" t="inlineStr">
        <is>
          <t>neutral</t>
        </is>
      </c>
      <c r="H175" s="20" t="inlineStr">
        <is>
          <t>x</t>
        </is>
      </c>
      <c r="I175" s="19" t="inlineStr">
        <is>
          <t>Reorganizacion societaria con concentracion de acciones. Alternativa: B_dividendo_capital.</t>
        </is>
      </c>
      <c r="J175" s="18" t="inlineStr">
        <is>
          <t>https://gestion.pe/economia/empresas/luz-del-sur-se-reordena-entra-en-vigencia-concentracion-de-acciones-en-una-de-sus-firmas-noticia/</t>
        </is>
      </c>
    </row>
    <row r="176" ht="28.05" customHeight="1">
      <c r="A176" s="15" t="n">
        <v>175</v>
      </c>
      <c r="B176" s="15" t="inlineStr">
        <is>
          <t>2022-03-03</t>
        </is>
      </c>
      <c r="C176" s="16" t="inlineStr">
        <is>
          <t>larepublica.pe</t>
        </is>
      </c>
      <c r="D176" s="16" t="inlineStr">
        <is>
          <t>Banco de Credito del Peru (BCP)</t>
        </is>
      </c>
      <c r="E176" s="17" t="inlineStr">
        <is>
          <t>El dólar inicia la jornada a la baja y se ubica en S/ 3,7385</t>
        </is>
      </c>
      <c r="F176" s="19" t="inlineStr">
        <is>
          <t>Z_mencion_incidental</t>
        </is>
      </c>
      <c r="G176" s="19" t="n"/>
      <c r="H176" s="20" t="n"/>
      <c r="I176" s="19" t="inlineStr">
        <is>
          <t>Tipo de cambio.</t>
        </is>
      </c>
      <c r="J176" s="18" t="inlineStr">
        <is>
          <t>https://larepublica.pe/economia/2022/03/03/tipo-de-cambio-el-dolar-inicia-la-jornada-a-la-baja-y-se-ubica-en-s-37385/</t>
        </is>
      </c>
    </row>
    <row r="177" ht="28.05" customHeight="1">
      <c r="A177" s="15" t="n">
        <v>176</v>
      </c>
      <c r="B177" s="15" t="inlineStr">
        <is>
          <t>2018-12-01</t>
        </is>
      </c>
      <c r="C177" s="16" t="inlineStr">
        <is>
          <t>gestion.pe</t>
        </is>
      </c>
      <c r="D177" s="16" t="inlineStr">
        <is>
          <t>Compania de Minas Buenaventura</t>
        </is>
      </c>
      <c r="E177" s="17" t="inlineStr">
        <is>
          <t>Buenaventura ve a Perú más cerca de próxima ola del cobre</t>
        </is>
      </c>
      <c r="F177" s="19" t="inlineStr">
        <is>
          <t>Z_mencion_incidental</t>
        </is>
      </c>
      <c r="G177" s="19" t="n"/>
      <c r="H177" s="20" t="inlineStr">
        <is>
          <t>x</t>
        </is>
      </c>
      <c r="I177" s="19" t="inlineStr">
        <is>
          <t>Buenaventura opina sobre el ciclo del cobre; no hay hecho propio.</t>
        </is>
      </c>
      <c r="J177" s="18" t="n"/>
    </row>
    <row r="178" ht="28.05" customHeight="1">
      <c r="A178" s="15" t="n">
        <v>177</v>
      </c>
      <c r="B178" s="15" t="inlineStr">
        <is>
          <t>2024-12-26</t>
        </is>
      </c>
      <c r="C178" s="16" t="inlineStr">
        <is>
          <t>elcomercio.pe</t>
        </is>
      </c>
      <c r="D178" s="16" t="inlineStr">
        <is>
          <t>Banco de Credito del Peru (BCP)</t>
        </is>
      </c>
      <c r="E178" s="17" t="inlineStr">
        <is>
          <t>¿Cuál es el beneficio al que pueden acceder los peruanos que cumplan 60 años con respecto a emisión de DNI?</t>
        </is>
      </c>
      <c r="F178" s="19" t="inlineStr">
        <is>
          <t>Z_no_relevante</t>
        </is>
      </c>
      <c r="G178" s="19" t="n"/>
      <c r="H178" s="20" t="n"/>
      <c r="I178" s="19" t="n"/>
      <c r="J178" s="18" t="inlineStr">
        <is>
          <t>https://elcomercio.pe/respuestas/tramites/cual-es-el-beneficio-al-que-pueden-acceder-los-peruanos-que-cumplan-60-anos-en-la-emision-del-dni-tdpe-noticia/</t>
        </is>
      </c>
    </row>
    <row r="179" ht="28.05" customHeight="1">
      <c r="A179" s="15" t="n">
        <v>178</v>
      </c>
      <c r="B179" s="15" t="inlineStr">
        <is>
          <t>2018-03-25</t>
        </is>
      </c>
      <c r="C179" s="16" t="inlineStr">
        <is>
          <t>gestion.pe</t>
        </is>
      </c>
      <c r="D179" s="16" t="inlineStr">
        <is>
          <t>Luz del Sur</t>
        </is>
      </c>
      <c r="E179" s="17" t="inlineStr">
        <is>
          <t>Castañeda: Viaducto sobre la Panamericana Sur en El Derby estará listo en seis meses</t>
        </is>
      </c>
      <c r="F179" s="19" t="inlineStr">
        <is>
          <t>Z_no_relevante</t>
        </is>
      </c>
      <c r="G179" s="19" t="n"/>
      <c r="H179" s="20" t="n"/>
      <c r="I179" s="19" t="n"/>
      <c r="J179" s="18" t="inlineStr">
        <is>
          <t>http://gestion.pe/economia/castaneda-viaducto-panamericana-sur-intercambio-vial-derby-estara-listo-seis-meses-230164</t>
        </is>
      </c>
    </row>
    <row r="180" ht="28.05" customHeight="1">
      <c r="A180" s="15" t="n">
        <v>179</v>
      </c>
      <c r="B180" s="15" t="inlineStr">
        <is>
          <t>2022-08-17</t>
        </is>
      </c>
      <c r="C180" s="16" t="inlineStr">
        <is>
          <t>elcomercio.pe</t>
        </is>
      </c>
      <c r="D180" s="16" t="inlineStr">
        <is>
          <t>Saga Falabella</t>
        </is>
      </c>
      <c r="E180" s="17" t="inlineStr">
        <is>
          <t>Indecopi fiscaliza a Plaza Vea por vender juegos de comedor a S/ 9 soles y luego indicar que es un error</t>
        </is>
      </c>
      <c r="F180" s="19" t="inlineStr">
        <is>
          <t>Z_no_relevante</t>
        </is>
      </c>
      <c r="G180" s="19" t="n"/>
      <c r="H180" s="20" t="inlineStr">
        <is>
          <t>x</t>
        </is>
      </c>
      <c r="I180" s="19" t="inlineStr">
        <is>
          <t>Plaza Vea es de InRetail; la fila es Saga Falabella.</t>
        </is>
      </c>
      <c r="J180" s="18" t="n"/>
    </row>
    <row r="181" ht="28.05" customHeight="1">
      <c r="A181" s="15" t="n">
        <v>180</v>
      </c>
      <c r="B181" s="15" t="inlineStr">
        <is>
          <t>2023-01-10</t>
        </is>
      </c>
      <c r="C181" s="16" t="inlineStr">
        <is>
          <t>larepublica.pe</t>
        </is>
      </c>
      <c r="D181" s="16" t="inlineStr">
        <is>
          <t>InRetail Peru Corp</t>
        </is>
      </c>
      <c r="E181" s="17" t="inlineStr">
        <is>
          <t>¿Qué está pasando en Perú?: lo que el mundo se pregunta sobre las protestas</t>
        </is>
      </c>
      <c r="F181" s="19" t="inlineStr">
        <is>
          <t>Z_no_relevante</t>
        </is>
      </c>
      <c r="G181" s="19" t="n"/>
      <c r="H181" s="20" t="n"/>
      <c r="I181" s="19" t="n"/>
      <c r="J181" s="18" t="inlineStr">
        <is>
          <t>https://larepublica.pe/mundo/2023/01/10/protestas-en-peru-que-esta-pasando-en-peru-que-dice-el-mundo-y-que-se-pregunta-sobre-las-protestas-en-peru-dina-boluarte-presidenta-crisis-politica-en-peru-ultimas-noticias-lrtm</t>
        </is>
      </c>
    </row>
    <row r="182" ht="28.05" customHeight="1">
      <c r="A182" s="15" t="n">
        <v>181</v>
      </c>
      <c r="B182" s="15" t="inlineStr">
        <is>
          <t>2022-02-03</t>
        </is>
      </c>
      <c r="C182" s="16" t="inlineStr">
        <is>
          <t>larepublica.pe</t>
        </is>
      </c>
      <c r="D182" s="16" t="inlineStr">
        <is>
          <t>Banco de Credito del Peru (BCP)</t>
        </is>
      </c>
      <c r="E182" s="17" t="inlineStr">
        <is>
          <t>Dólar cerró con una ligera subida y llegó a los S/ 3,8600 este 3 de febrero</t>
        </is>
      </c>
      <c r="F182" s="19" t="inlineStr">
        <is>
          <t>Z_mencion_incidental</t>
        </is>
      </c>
      <c r="G182" s="19" t="n"/>
      <c r="H182" s="20" t="n"/>
      <c r="I182" s="19" t="inlineStr">
        <is>
          <t>Tipo de cambio.</t>
        </is>
      </c>
      <c r="J182" s="18" t="inlineStr">
        <is>
          <t>https://larepublica.pe/economia/2022/02/03/dolar-cerro-con-una-ligera-subida-y-llego-a-los-s-38600-este-3-de-febrero/</t>
        </is>
      </c>
    </row>
    <row r="183" ht="28.05" customHeight="1">
      <c r="A183" s="15" t="n">
        <v>182</v>
      </c>
      <c r="B183" s="15" t="inlineStr">
        <is>
          <t>2025-09-10</t>
        </is>
      </c>
      <c r="C183" s="16" t="inlineStr">
        <is>
          <t>elcomercio.pe</t>
        </is>
      </c>
      <c r="D183" s="16" t="inlineStr">
        <is>
          <t>Ferreycorp</t>
        </is>
      </c>
      <c r="E183" s="17" t="inlineStr">
        <is>
          <t>inPerú: Madrid por María Rosa Villobos</t>
        </is>
      </c>
      <c r="F183" s="19" t="inlineStr">
        <is>
          <t>Z_mencion_incidental</t>
        </is>
      </c>
      <c r="G183" s="19" t="n"/>
      <c r="H183" s="20" t="inlineStr">
        <is>
          <t>x</t>
        </is>
      </c>
      <c r="I183" s="19" t="inlineStr">
        <is>
          <t>Road show de inPeru.</t>
        </is>
      </c>
      <c r="J183" s="18" t="inlineStr">
        <is>
          <t>https://elcomercio.pe/economia/opinion/inperu-madrid-por-maria-rosa-villobos-opinion-inperu-madrid-bcr-mef-noticia/</t>
        </is>
      </c>
    </row>
    <row r="184" ht="28.05" customHeight="1">
      <c r="A184" s="15" t="n">
        <v>183</v>
      </c>
      <c r="B184" s="15" t="inlineStr">
        <is>
          <t>2025-11-23</t>
        </is>
      </c>
      <c r="C184" s="16" t="inlineStr">
        <is>
          <t>gestion.pe</t>
        </is>
      </c>
      <c r="D184" s="16" t="inlineStr">
        <is>
          <t>Minsur</t>
        </is>
      </c>
      <c r="E184" s="17" t="inlineStr">
        <is>
          <t>Minsur y su manejo de efectivo, ¿qué pasará con repartición de dividendos?</t>
        </is>
      </c>
      <c r="F184" s="19" t="inlineStr">
        <is>
          <t>B_dividendo_capital</t>
        </is>
      </c>
      <c r="G184" s="19" t="inlineStr">
        <is>
          <t>neutral</t>
        </is>
      </c>
      <c r="H184" s="20" t="n"/>
      <c r="I184" s="19" t="inlineStr">
        <is>
          <t>Manejo de caja y reparto de dividendos.</t>
        </is>
      </c>
      <c r="J184" s="18" t="inlineStr">
        <is>
          <t>https://gestion.pe/tu-dinero/bolsa-de-valores-de-lima-minsur-y-su-manejo-de-efectivo-que-pasara-con-reparticion-de-dividendos-noticia/</t>
        </is>
      </c>
    </row>
    <row r="185" ht="28.05" customHeight="1">
      <c r="A185" s="15" t="n">
        <v>184</v>
      </c>
      <c r="B185" s="15" t="inlineStr">
        <is>
          <t>2024-12-13</t>
        </is>
      </c>
      <c r="C185" s="16" t="inlineStr">
        <is>
          <t>larepublica.pe</t>
        </is>
      </c>
      <c r="D185" s="16" t="inlineStr">
        <is>
          <t>InRetail Peru Corp</t>
        </is>
      </c>
      <c r="E185" s="17" t="inlineStr">
        <is>
          <t>¿Cómo revisar tu recibo de luz en línea? Paso a paso para consultar tu deuda en Pluz Energía y Luz del Sur</t>
        </is>
      </c>
      <c r="F185" s="19" t="inlineStr">
        <is>
          <t>Z_no_relevante</t>
        </is>
      </c>
      <c r="G185" s="19" t="n"/>
      <c r="H185" s="20" t="n"/>
      <c r="I185" s="19" t="n"/>
      <c r="J185" s="18" t="inlineStr">
        <is>
          <t>https://larepublica.pe/datos-lr/2024/12/13/como-revisar-tu-recibo-de-luz-en-linea-paso-a-paso-para-consultar-tu-deuda-en-pluz-energia-y-luz-del-sur-atmp-214370</t>
        </is>
      </c>
    </row>
    <row r="186" ht="28.05" customHeight="1">
      <c r="A186" s="15" t="n">
        <v>185</v>
      </c>
      <c r="B186" s="15" t="inlineStr">
        <is>
          <t>2017-12-20</t>
        </is>
      </c>
      <c r="C186" s="16" t="inlineStr">
        <is>
          <t>elcomercio.pe</t>
        </is>
      </c>
      <c r="D186" s="16" t="inlineStr">
        <is>
          <t>InRetail Peru Corp</t>
        </is>
      </c>
      <c r="E186" s="17" t="inlineStr">
        <is>
          <t>Cirque du Soleil vuelve a Lima en 2018: conoce detalles</t>
        </is>
      </c>
      <c r="F186" s="19" t="inlineStr">
        <is>
          <t>Z_no_relevante</t>
        </is>
      </c>
      <c r="G186" s="19" t="n"/>
      <c r="H186" s="20" t="n"/>
      <c r="I186" s="19" t="n"/>
      <c r="J186" s="18" t="inlineStr">
        <is>
          <t>http://elcomercio.pe/luces/teatro/cirque-du-soleil-vuelve-lima-2018-conoce-detalles-noticia-482883</t>
        </is>
      </c>
    </row>
    <row r="187" ht="28.05" customHeight="1">
      <c r="A187" s="15" t="n">
        <v>186</v>
      </c>
      <c r="B187" s="15" t="inlineStr">
        <is>
          <t>2023-05-25</t>
        </is>
      </c>
      <c r="C187" s="16" t="inlineStr">
        <is>
          <t>elcomercio.pe</t>
        </is>
      </c>
      <c r="D187" s="16" t="inlineStr">
        <is>
          <t>Luz del Sur</t>
        </is>
      </c>
      <c r="E187" s="17" t="inlineStr">
        <is>
          <t>Autos autónomos: China no se queda atrás y autoriza el uso de robotaxis sin conductor</t>
        </is>
      </c>
      <c r="F187" s="19" t="inlineStr">
        <is>
          <t>Z_no_relevante</t>
        </is>
      </c>
      <c r="G187" s="19" t="n"/>
      <c r="H187" s="20" t="n"/>
      <c r="I187" s="19" t="n"/>
      <c r="J187" s="18" t="inlineStr">
        <is>
          <t>https://elcomercio.pe/tecnologia/actualidad/autos-autonomos-china-no-se-queda-atras-y-autoriza-el-uso-de-robotaxis-sin-conductor-autos-electricos-lexus-rx-electromovilidad-noticia/</t>
        </is>
      </c>
    </row>
    <row r="188" ht="28.05" customHeight="1">
      <c r="A188" s="15" t="n">
        <v>187</v>
      </c>
      <c r="B188" s="15" t="inlineStr">
        <is>
          <t>2017-05-14</t>
        </is>
      </c>
      <c r="C188" s="16" t="inlineStr">
        <is>
          <t>elcomercio.pe</t>
        </is>
      </c>
      <c r="D188" s="16" t="inlineStr">
        <is>
          <t>Alicorp</t>
        </is>
      </c>
      <c r="E188" s="17" t="inlineStr">
        <is>
          <t>Construcción y consumo destacan en plaza bursátil</t>
        </is>
      </c>
      <c r="F188" s="19" t="inlineStr">
        <is>
          <t>Z_indice_bursatil</t>
        </is>
      </c>
      <c r="G188" s="19" t="n"/>
      <c r="H188" s="20" t="n"/>
      <c r="I188" s="19" t="n"/>
      <c r="J188" s="18" t="inlineStr">
        <is>
          <t>http://elcomercio.pe/economia/mercados/construccion-y-consumo-destacan-plaza-bursatil-noticia-1991492</t>
        </is>
      </c>
    </row>
    <row r="189" ht="28.05" customHeight="1">
      <c r="A189" s="15" t="n">
        <v>188</v>
      </c>
      <c r="B189" s="15" t="inlineStr">
        <is>
          <t>2020-09-16</t>
        </is>
      </c>
      <c r="C189" s="16" t="inlineStr">
        <is>
          <t>larepublica.pe</t>
        </is>
      </c>
      <c r="D189" s="16" t="inlineStr">
        <is>
          <t>Luz del Sur</t>
        </is>
      </c>
      <c r="E189" s="17" t="inlineStr">
        <is>
          <t>Economía cae 11,71%, pero menos empleos se pierden</t>
        </is>
      </c>
      <c r="F189" s="19" t="inlineStr">
        <is>
          <t>Z_sector_macro</t>
        </is>
      </c>
      <c r="G189" s="19" t="n"/>
      <c r="H189" s="20" t="n"/>
      <c r="I189" s="19" t="n"/>
      <c r="J189" s="18" t="inlineStr">
        <is>
          <t>https://larepublica.pe/economia/2020/09/16/economia-cae-1171-por-ciento-pero-menos-empleos-se-pierden/</t>
        </is>
      </c>
    </row>
    <row r="190" ht="28.05" customHeight="1">
      <c r="A190" s="15" t="n">
        <v>189</v>
      </c>
      <c r="B190" s="15" t="inlineStr">
        <is>
          <t>2025-03-11</t>
        </is>
      </c>
      <c r="C190" s="16" t="inlineStr">
        <is>
          <t>gestion.pe</t>
        </is>
      </c>
      <c r="D190" s="16" t="inlineStr">
        <is>
          <t>Saga Falabella</t>
        </is>
      </c>
      <c r="E190" s="17" t="inlineStr">
        <is>
          <t>Platanitos pisa fuerte: los pasos en Latam y la expansión de Limoni en accesorios</t>
        </is>
      </c>
      <c r="F190" s="19" t="inlineStr">
        <is>
          <t>Z_sector_macro</t>
        </is>
      </c>
      <c r="G190" s="19" t="n"/>
      <c r="H190" s="20" t="inlineStr">
        <is>
          <t>x</t>
        </is>
      </c>
      <c r="I190" s="19" t="inlineStr">
        <is>
          <t>Expansion de competidores en calzado y accesorios.</t>
        </is>
      </c>
      <c r="J190" s="18" t="n"/>
    </row>
    <row r="191" ht="28.05" customHeight="1">
      <c r="A191" s="15" t="n">
        <v>190</v>
      </c>
      <c r="B191" s="15" t="inlineStr">
        <is>
          <t>2022-08-11</t>
        </is>
      </c>
      <c r="C191" s="16" t="inlineStr">
        <is>
          <t>larepublica.pe</t>
        </is>
      </c>
      <c r="D191" s="16" t="inlineStr">
        <is>
          <t>Saga Falabella</t>
        </is>
      </c>
      <c r="E191" s="17" t="inlineStr">
        <is>
          <t>¡Precios de locura! Otra vez, una empresa remata muebles a 20 soles y comedores a 90</t>
        </is>
      </c>
      <c r="F191" s="19" t="inlineStr">
        <is>
          <t>Z_no_relevante</t>
        </is>
      </c>
      <c r="G191" s="19" t="n"/>
      <c r="H191" s="20" t="inlineStr">
        <is>
          <t>x</t>
        </is>
      </c>
      <c r="I191" s="19" t="inlineStr">
        <is>
          <t>No identifica a la empresa que remato los muebles; podria ser la propia Saga.</t>
        </is>
      </c>
      <c r="J191" s="18" t="inlineStr">
        <is>
          <t>https://larepublica.pe/sociedad/2022/08/11/plaza-vea-otra-vez-una-empresa-remata-muebles-a-20-soles-y-comedores-a-90-saga-falabella-indecopi/</t>
        </is>
      </c>
    </row>
    <row r="192" ht="28.05" customHeight="1">
      <c r="A192" s="15" t="n">
        <v>191</v>
      </c>
      <c r="B192" s="15" t="inlineStr">
        <is>
          <t>2014-09-17</t>
        </is>
      </c>
      <c r="C192" s="16" t="inlineStr">
        <is>
          <t>larepublica.pe</t>
        </is>
      </c>
      <c r="D192" s="16" t="inlineStr">
        <is>
          <t>Saga Falabella</t>
        </is>
      </c>
      <c r="E192" s="17" t="inlineStr">
        <is>
          <t>Sodimac compró el 100% de Maestro, su competidor, por S/. 1.404 millones</t>
        </is>
      </c>
      <c r="F192" s="19" t="inlineStr">
        <is>
          <t>A_ma_reestructuracion</t>
        </is>
      </c>
      <c r="G192" s="19" t="inlineStr">
        <is>
          <t>neutral</t>
        </is>
      </c>
      <c r="H192" s="20" t="n"/>
      <c r="I192" s="19" t="inlineStr">
        <is>
          <t>Misma noticia que la fila 75.</t>
        </is>
      </c>
      <c r="J192" s="18" t="n"/>
    </row>
    <row r="193" ht="28.05" customHeight="1">
      <c r="A193" s="15" t="n">
        <v>192</v>
      </c>
      <c r="B193" s="15" t="inlineStr">
        <is>
          <t>2025-05-12</t>
        </is>
      </c>
      <c r="C193" s="16" t="inlineStr">
        <is>
          <t>gestion.pe</t>
        </is>
      </c>
      <c r="D193" s="16" t="inlineStr">
        <is>
          <t>Banco de Credito del Peru (BCP)</t>
        </is>
      </c>
      <c r="E193" s="17" t="inlineStr">
        <is>
          <t>Beca 18: Desarrollo e inclusión social</t>
        </is>
      </c>
      <c r="F193" s="19" t="inlineStr">
        <is>
          <t>Z_no_relevante</t>
        </is>
      </c>
      <c r="G193" s="19" t="n"/>
      <c r="H193" s="20" t="n"/>
      <c r="I193" s="19" t="n"/>
      <c r="J193" s="18" t="inlineStr">
        <is>
          <t>https://gestion.pe/g-de-gestion/columnistas/beca-18-desarrollo-e-inclusion-social-noticia/</t>
        </is>
      </c>
    </row>
    <row r="194" ht="28.05" customHeight="1">
      <c r="A194" s="15" t="n">
        <v>193</v>
      </c>
      <c r="B194" s="15" t="inlineStr">
        <is>
          <t>2022-03-07</t>
        </is>
      </c>
      <c r="C194" s="16" t="inlineStr">
        <is>
          <t>larepublica.pe</t>
        </is>
      </c>
      <c r="D194" s="16" t="inlineStr">
        <is>
          <t>Banco de Credito del Peru (BCP)</t>
        </is>
      </c>
      <c r="E194" s="17" t="inlineStr">
        <is>
          <t>Precio del dólar cierra a la baja y se ubica en S/ 3,7250</t>
        </is>
      </c>
      <c r="F194" s="19" t="inlineStr">
        <is>
          <t>Z_mencion_incidental</t>
        </is>
      </c>
      <c r="G194" s="19" t="n"/>
      <c r="H194" s="20" t="n"/>
      <c r="I194" s="19" t="inlineStr">
        <is>
          <t>Tipo de cambio.</t>
        </is>
      </c>
      <c r="J194" s="18" t="inlineStr">
        <is>
          <t>https://larepublica.pe/economia/2022/03/07/precio-del-dolar-cierra-a-la-baja-y-se-ubica-en-s-37250/</t>
        </is>
      </c>
    </row>
    <row r="195" ht="28.05" customHeight="1">
      <c r="A195" s="15" t="n">
        <v>194</v>
      </c>
      <c r="B195" s="15" t="inlineStr">
        <is>
          <t>2018-04-07</t>
        </is>
      </c>
      <c r="C195" s="16" t="inlineStr">
        <is>
          <t>larepublica.pe</t>
        </is>
      </c>
      <c r="D195" s="16" t="inlineStr">
        <is>
          <t>Cementos Pacasmayo</t>
        </is>
      </c>
      <c r="E195" s="17" t="inlineStr">
        <is>
          <t>Seis policías integraban banda “Los Capos de la Construcción” de Piura</t>
        </is>
      </c>
      <c r="F195" s="19" t="inlineStr">
        <is>
          <t>Z_no_relevante</t>
        </is>
      </c>
      <c r="G195" s="19" t="n"/>
      <c r="H195" s="20" t="n"/>
      <c r="I195" s="19" t="n"/>
      <c r="J195" s="18" t="inlineStr">
        <is>
          <t>http://larepublica.pe/sociedad/1222972-seis-policias-integraban-banda-los-capos-de-la-construccion-de-piura</t>
        </is>
      </c>
    </row>
    <row r="196" ht="28.05" customHeight="1">
      <c r="A196" s="15" t="n">
        <v>195</v>
      </c>
      <c r="B196" s="15" t="inlineStr">
        <is>
          <t>2023-07-27</t>
        </is>
      </c>
      <c r="C196" s="16" t="inlineStr">
        <is>
          <t>larepublica.pe</t>
        </is>
      </c>
      <c r="D196" s="16" t="inlineStr">
        <is>
          <t>InRetail Peru Corp</t>
        </is>
      </c>
      <c r="E196" s="17" t="inlineStr">
        <is>
          <t>¡Visita la laguna Piquecocha! ¿Dónde queda y cómo llegar a este 'paraíso escondido' cerca de Lima?</t>
        </is>
      </c>
      <c r="F196" s="19" t="inlineStr">
        <is>
          <t>Z_no_relevante</t>
        </is>
      </c>
      <c r="G196" s="19" t="n"/>
      <c r="H196" s="20" t="n"/>
      <c r="I196" s="19" t="n"/>
      <c r="J196" s="18" t="inlineStr">
        <is>
          <t>https://larepublica.pe/turismo/destinos/2023/07/27/laguna-piquecocha-donde-queda-y-como-llegar-a-este-paraiso-escondido-cerca-de-lima-yauyos-nor-yauyos-cochas-atmp-1294893</t>
        </is>
      </c>
    </row>
    <row r="197" ht="28.05" customHeight="1">
      <c r="A197" s="15" t="n">
        <v>196</v>
      </c>
      <c r="B197" s="15" t="inlineStr">
        <is>
          <t>2023-08-04</t>
        </is>
      </c>
      <c r="C197" s="16" t="inlineStr">
        <is>
          <t>larepublica.pe</t>
        </is>
      </c>
      <c r="D197" s="16" t="inlineStr">
        <is>
          <t>Luz del Sur</t>
        </is>
      </c>
      <c r="E197" s="17" t="inlineStr">
        <is>
          <t>¿Cómo ver mi recibo de luz online de Enel, Luz del Sur y otras empresas eléctricas del Perú?</t>
        </is>
      </c>
      <c r="F197" s="19" t="inlineStr">
        <is>
          <t>Z_mencion_incidental</t>
        </is>
      </c>
      <c r="G197" s="19" t="n"/>
      <c r="H197" s="20" t="n"/>
      <c r="I197" s="19" t="inlineStr">
        <is>
          <t>Instructivo de servicio que lista varias electricas.</t>
        </is>
      </c>
      <c r="J197" s="18" t="inlineStr">
        <is>
          <t>https://larepublica.pe/datos-lr/2023/08/04/recibo-de-luz-online-como-ver-mi-recibo-con-mi-numero-de-dni-y-codigo-de-suministro-recibo-enel-recibo-luz-del-sur-recibo-distriluz-nspe-131040</t>
        </is>
      </c>
    </row>
    <row r="198" ht="28.05" customHeight="1">
      <c r="A198" s="15" t="n">
        <v>197</v>
      </c>
      <c r="B198" s="15" t="inlineStr">
        <is>
          <t>2016-07-09</t>
        </is>
      </c>
      <c r="C198" s="16" t="inlineStr">
        <is>
          <t>larepublica.pe</t>
        </is>
      </c>
      <c r="D198" s="16" t="inlineStr">
        <is>
          <t>Banco de Credito del Peru (BCP)</t>
        </is>
      </c>
      <c r="E198" s="17" t="inlineStr">
        <is>
          <t>Es peruano el mejor banco de Latinoamérica</t>
        </is>
      </c>
      <c r="F198" s="19" t="inlineStr">
        <is>
          <t>Z_mencion_incidental</t>
        </is>
      </c>
      <c r="G198" s="19" t="n"/>
      <c r="H198" s="20" t="inlineStr">
        <is>
          <t>x</t>
        </is>
      </c>
      <c r="I198" s="19" t="inlineStr">
        <is>
          <t>Reconocimiento reputacional sin hecho material.</t>
        </is>
      </c>
      <c r="J198" s="18" t="inlineStr">
        <is>
          <t>http://redaccion.larepublica.pe/economia/784132-es-peruano-el-mejor-banco-de-latinoamerica</t>
        </is>
      </c>
    </row>
    <row r="199" ht="28.05" customHeight="1">
      <c r="A199" s="15" t="n">
        <v>198</v>
      </c>
      <c r="B199" s="15" t="inlineStr">
        <is>
          <t>2016-08-03</t>
        </is>
      </c>
      <c r="C199" s="16" t="inlineStr">
        <is>
          <t>elcomercio.pe</t>
        </is>
      </c>
      <c r="D199" s="16" t="inlineStr">
        <is>
          <t>Saga Falabella</t>
        </is>
      </c>
      <c r="E199" s="17" t="inlineStr">
        <is>
          <t>Marca de relojes Watch Sport ingresará a Saga Falabella</t>
        </is>
      </c>
      <c r="F199" s="19" t="inlineStr">
        <is>
          <t>Z_marketing_promocion</t>
        </is>
      </c>
      <c r="G199" s="19" t="n"/>
      <c r="H199" s="20" t="n"/>
      <c r="I199" s="19" t="inlineStr">
        <is>
          <t>Ingreso de una marca a sus tiendas.</t>
        </is>
      </c>
      <c r="J199" s="18" t="n"/>
    </row>
    <row r="200" ht="28.05" customHeight="1">
      <c r="A200" s="15" t="n">
        <v>199</v>
      </c>
      <c r="B200" s="15" t="inlineStr">
        <is>
          <t>2021-10-31</t>
        </is>
      </c>
      <c r="C200" s="16" t="inlineStr">
        <is>
          <t>larepublica.pe</t>
        </is>
      </c>
      <c r="D200" s="16" t="inlineStr">
        <is>
          <t>Banco de Credito del Peru (BCP)</t>
        </is>
      </c>
      <c r="E200" s="17" t="inlineStr">
        <is>
          <t>¿Abrirán los bancos el 1 de noviembre, Día de los Muertos?</t>
        </is>
      </c>
      <c r="F200" s="19" t="inlineStr">
        <is>
          <t>Z_mencion_incidental</t>
        </is>
      </c>
      <c r="G200" s="19" t="n"/>
      <c r="H200" s="20" t="n"/>
      <c r="I200" s="19" t="inlineStr">
        <is>
          <t>Horarios de atencion de la banca.</t>
        </is>
      </c>
      <c r="J200" s="18" t="inlineStr">
        <is>
          <t>https://larepublica.pe/datos-lr/respuestas/2021/10/31/abriran-los-bancos-el-1-de-noviembre-dia-de-los-muertos-feriado-atmp/</t>
        </is>
      </c>
    </row>
    <row r="201" ht="28.05" customHeight="1">
      <c r="A201" s="15" t="n">
        <v>200</v>
      </c>
      <c r="B201" s="15" t="inlineStr">
        <is>
          <t>2023-03-07</t>
        </is>
      </c>
      <c r="C201" s="16" t="inlineStr">
        <is>
          <t>elcomercio.pe</t>
        </is>
      </c>
      <c r="D201" s="16" t="inlineStr">
        <is>
          <t>Luz del Sur</t>
        </is>
      </c>
      <c r="E201" s="17" t="inlineStr">
        <is>
          <t>Luz del Sur: “Queremos promover la movilidad eléctrica en nuestra zona de concesión”</t>
        </is>
      </c>
      <c r="F201" s="19" t="inlineStr">
        <is>
          <t>B_estrategia_inversion</t>
        </is>
      </c>
      <c r="G201" s="19" t="inlineStr">
        <is>
          <t>neutral</t>
        </is>
      </c>
      <c r="H201" s="20" t="inlineStr">
        <is>
          <t>x</t>
        </is>
      </c>
      <c r="I201" s="19" t="inlineStr">
        <is>
          <t>Plan de movilidad electrica en su zona de concesion, en entrevista.</t>
        </is>
      </c>
      <c r="J201" s="18" t="inlineStr">
        <is>
          <t>https://elcomercio.pe/economia/negocios/energia-luz-del-sur-queremos-promover-la-movilidad-electrica-en-nuestra-zona-de-concesion-autos-electricos-mario-gonzales-electromovilidad-noticia/</t>
        </is>
      </c>
    </row>
    <row r="202" ht="28.05" customHeight="1">
      <c r="A202" s="15" t="n">
        <v>201</v>
      </c>
      <c r="B202" s="15" t="inlineStr">
        <is>
          <t>2024-11-19</t>
        </is>
      </c>
      <c r="C202" s="16" t="inlineStr">
        <is>
          <t>larepublica.pe</t>
        </is>
      </c>
      <c r="D202" s="16" t="inlineStr">
        <is>
          <t>Banco de Credito del Peru (BCP)</t>
        </is>
      </c>
      <c r="E202" s="17" t="inlineStr">
        <is>
          <t>Descubre cómo identificar pantallazos falsos en Yape y mantener tu dinero seguro</t>
        </is>
      </c>
      <c r="F202" s="19" t="inlineStr">
        <is>
          <t>Z_marketing_promocion</t>
        </is>
      </c>
      <c r="G202" s="19" t="n"/>
      <c r="H202" s="20" t="n"/>
      <c r="I202" s="19" t="inlineStr">
        <is>
          <t>Instructivo de Yape (ver fila 156).</t>
        </is>
      </c>
      <c r="J202" s="18" t="inlineStr">
        <is>
          <t>https://larepublica.pe/economia/2024/11/19/descubre-como-identificar-pantallazos-falsos-en-yape-y-mantener-tu-dinero-seguro-atmp-1599591</t>
        </is>
      </c>
    </row>
    <row r="203" ht="28.05" customHeight="1">
      <c r="A203" s="15" t="n">
        <v>202</v>
      </c>
      <c r="B203" s="15" t="inlineStr">
        <is>
          <t>2024-10-07</t>
        </is>
      </c>
      <c r="C203" s="16" t="inlineStr">
        <is>
          <t>gestion.pe</t>
        </is>
      </c>
      <c r="D203" s="16" t="inlineStr">
        <is>
          <t>Cementos Pacasmayo</t>
        </is>
      </c>
      <c r="E203" s="17" t="inlineStr">
        <is>
          <t>Cementos Pacasmayo mantiene clasificación AAA.pe, pero alertan sobre desafíos financieros</t>
        </is>
      </c>
      <c r="F203" s="19" t="inlineStr">
        <is>
          <t>C_analisis_opinion</t>
        </is>
      </c>
      <c r="G203" s="19" t="inlineStr">
        <is>
          <t>neutral</t>
        </is>
      </c>
      <c r="H203" s="20" t="inlineStr">
        <is>
          <t>x</t>
        </is>
      </c>
      <c r="I203" s="19" t="inlineStr">
        <is>
          <t>Mantiene AAA.pe pero la clasificadora alerta desafios: senal mixta.</t>
        </is>
      </c>
      <c r="J203" s="18" t="inlineStr">
        <is>
          <t>https://gestion.pe/economia/empresas/cementos-pacasmayo-mantiene-clasificacion-aaape-pero-alertan-sobre-desafios-financieros-moodys-cemento-hochschild-politica-noticia/</t>
        </is>
      </c>
    </row>
    <row r="204" ht="28.05" customHeight="1">
      <c r="A204" s="15" t="n">
        <v>203</v>
      </c>
      <c r="B204" s="15" t="inlineStr">
        <is>
          <t>2025-11-15</t>
        </is>
      </c>
      <c r="C204" s="16" t="inlineStr">
        <is>
          <t>elcomercio.pe</t>
        </is>
      </c>
      <c r="D204" s="16" t="inlineStr">
        <is>
          <t>Banco de Credito del Peru (BCP)</t>
        </is>
      </c>
      <c r="E204" s="17" t="inlineStr">
        <is>
          <t>SAT de Lima premiará a los contribuyentes puntuales con ‘gift cards’ de hasta S/1 000</t>
        </is>
      </c>
      <c r="F204" s="19" t="inlineStr">
        <is>
          <t>Z_no_relevante</t>
        </is>
      </c>
      <c r="G204" s="19" t="n"/>
      <c r="H204" s="20" t="n"/>
      <c r="I204" s="19" t="n"/>
      <c r="J204" s="18" t="inlineStr">
        <is>
          <t>https://elcomercio.pe/lima/sucesos/sat-de-lima-premiara-a-los-contribuyentes-puntuales-con-gift-cards-de-hasta-s1-000-ultimas-noticia/</t>
        </is>
      </c>
    </row>
    <row r="205" ht="28.05" customHeight="1">
      <c r="A205" s="15" t="n">
        <v>204</v>
      </c>
      <c r="B205" s="15" t="inlineStr">
        <is>
          <t>2017-08-31</t>
        </is>
      </c>
      <c r="C205" s="16" t="inlineStr">
        <is>
          <t>elcomercio.pe</t>
        </is>
      </c>
      <c r="D205" s="16" t="inlineStr">
        <is>
          <t>Ferreycorp</t>
        </is>
      </c>
      <c r="E205" s="17" t="inlineStr">
        <is>
          <t>Choquequirao: presidente sobrevolará recinto para determinar zona de teleférico</t>
        </is>
      </c>
      <c r="F205" s="19" t="inlineStr">
        <is>
          <t>Z_no_relevante</t>
        </is>
      </c>
      <c r="G205" s="19" t="n"/>
      <c r="H205" s="20" t="n"/>
      <c r="I205" s="19" t="n"/>
      <c r="J205" s="18" t="inlineStr">
        <is>
          <t>http://elcomercio.pe/peru/cusco/choquequirao-presidente-sobrevolara-recinto-determinar-zona-teleferico-noticia-454567</t>
        </is>
      </c>
    </row>
    <row r="206" ht="28.05" customHeight="1">
      <c r="A206" s="15" t="n">
        <v>205</v>
      </c>
      <c r="B206" s="15" t="inlineStr">
        <is>
          <t>2017-03-06</t>
        </is>
      </c>
      <c r="C206" s="16" t="inlineStr">
        <is>
          <t>gestion.pe</t>
        </is>
      </c>
      <c r="D206" s="16" t="inlineStr">
        <is>
          <t>Ferreycorp</t>
        </is>
      </c>
      <c r="E206" s="17" t="inlineStr">
        <is>
          <t>Aniversario de empresas</t>
        </is>
      </c>
      <c r="F206" s="19" t="inlineStr">
        <is>
          <t>Z_mencion_incidental</t>
        </is>
      </c>
      <c r="G206" s="19" t="n"/>
      <c r="H206" s="20" t="inlineStr">
        <is>
          <t>x</t>
        </is>
      </c>
      <c r="I206" s="19" t="inlineStr">
        <is>
          <t>Seccion de aniversarios de empresas.</t>
        </is>
      </c>
      <c r="J206" s="18" t="inlineStr">
        <is>
          <t>http://gestion.pe/empresas/aniversario-empresas-2183543</t>
        </is>
      </c>
    </row>
    <row r="207" ht="28.05" customHeight="1">
      <c r="A207" s="15" t="n">
        <v>206</v>
      </c>
      <c r="B207" s="15" t="inlineStr">
        <is>
          <t>2013-02-08</t>
        </is>
      </c>
      <c r="C207" s="16" t="inlineStr">
        <is>
          <t>gestion.pe</t>
        </is>
      </c>
      <c r="D207" s="16" t="inlineStr">
        <is>
          <t>Alicorp</t>
        </is>
      </c>
      <c r="E207" s="17" t="inlineStr">
        <is>
          <t>Alicorp adquiere la brasileña Pastificio Santa Amália</t>
        </is>
      </c>
      <c r="F207" s="19" t="inlineStr">
        <is>
          <t>A_ma_reestructuracion</t>
        </is>
      </c>
      <c r="G207" s="19" t="inlineStr">
        <is>
          <t>neutral</t>
        </is>
      </c>
      <c r="H207" s="20" t="n"/>
      <c r="I207" s="19" t="inlineStr">
        <is>
          <t>Adquisicion de Pastificio Santa Amalia.</t>
        </is>
      </c>
      <c r="J207" s="18" t="inlineStr">
        <is>
          <t>https://gestion.pe/impresa/alicorp-adquiere-brasilena-pastificio-santa-amalia-31148-noticia/</t>
        </is>
      </c>
    </row>
    <row r="208" ht="28.05" customHeight="1">
      <c r="A208" s="15" t="n">
        <v>207</v>
      </c>
      <c r="B208" s="15" t="inlineStr">
        <is>
          <t>2024-03-08</t>
        </is>
      </c>
      <c r="C208" s="16" t="inlineStr">
        <is>
          <t>gestion.pe</t>
        </is>
      </c>
      <c r="D208" s="16" t="inlineStr">
        <is>
          <t>Cementos Pacasmayo</t>
        </is>
      </c>
      <c r="E208" s="17" t="inlineStr">
        <is>
          <t>BVL cerró a la baja tras revelarse datos de empleo de Estados Unidos</t>
        </is>
      </c>
      <c r="F208" s="19" t="inlineStr">
        <is>
          <t>Z_indice_bursatil</t>
        </is>
      </c>
      <c r="G208" s="19" t="n"/>
      <c r="H208" s="20" t="n"/>
      <c r="I208" s="19" t="n"/>
      <c r="J208" s="18" t="inlineStr">
        <is>
          <t>https://gestion.pe/economia/mercados/bvl-cerro-a-la-baja-tras-revelarse-datos-de-empleo-de-estados-unidos-noticia/</t>
        </is>
      </c>
    </row>
    <row r="209" ht="28.05" customHeight="1">
      <c r="A209" s="15" t="n">
        <v>208</v>
      </c>
      <c r="B209" s="15" t="inlineStr">
        <is>
          <t>2018-12-01</t>
        </is>
      </c>
      <c r="C209" s="16" t="inlineStr">
        <is>
          <t>elcomercio.pe</t>
        </is>
      </c>
      <c r="D209" s="16" t="inlineStr">
        <is>
          <t>Ferreycorp</t>
        </is>
      </c>
      <c r="E209" s="17" t="inlineStr">
        <is>
          <t>Editorial: CADE y la reflexión</t>
        </is>
      </c>
      <c r="F209" s="19" t="inlineStr">
        <is>
          <t>Z_no_relevante</t>
        </is>
      </c>
      <c r="G209" s="19" t="n"/>
      <c r="H209" s="20" t="n"/>
      <c r="I209" s="19" t="n"/>
      <c r="J209" s="18" t="inlineStr">
        <is>
          <t>http://elcomercio.pe/opinion/editorial/vizcarra-martin-corrupcion-empresarios-editorial-cade-reflexion-noticia-583208</t>
        </is>
      </c>
    </row>
    <row r="210" ht="28.05" customHeight="1">
      <c r="A210" s="15" t="n">
        <v>209</v>
      </c>
      <c r="B210" s="15" t="inlineStr">
        <is>
          <t>2017-04-27</t>
        </is>
      </c>
      <c r="C210" s="16" t="inlineStr">
        <is>
          <t>elcomercio.pe</t>
        </is>
      </c>
      <c r="D210" s="16" t="inlineStr">
        <is>
          <t>Cementos Pacasmayo</t>
        </is>
      </c>
      <c r="E210" s="17" t="inlineStr">
        <is>
          <t>Las compañías privadas que más invierten en proyectos públicos en el Perú</t>
        </is>
      </c>
      <c r="F210" s="19" t="inlineStr">
        <is>
          <t>Z_mencion_incidental</t>
        </is>
      </c>
      <c r="G210" s="19" t="n"/>
      <c r="H210" s="20" t="n"/>
      <c r="I210" s="19" t="inlineStr">
        <is>
          <t>Ranking de inversion en Obras por Impuestos.</t>
        </is>
      </c>
      <c r="J210" s="18" t="inlineStr">
        <is>
          <t>http://elcomercio.pe/economia/peru/obras-impuestos-empresas-que-mas-invierten-desarrollo-obras-publicas-noticia-1987175</t>
        </is>
      </c>
    </row>
    <row r="211" ht="28.05" customHeight="1">
      <c r="A211" s="15" t="n">
        <v>210</v>
      </c>
      <c r="B211" s="15" t="inlineStr">
        <is>
          <t>2022-10-02</t>
        </is>
      </c>
      <c r="C211" s="16" t="inlineStr">
        <is>
          <t>gestion.pe</t>
        </is>
      </c>
      <c r="D211" s="16" t="inlineStr">
        <is>
          <t>Aceros Arequipa</t>
        </is>
      </c>
      <c r="E211" s="17" t="inlineStr">
        <is>
          <t>acciones | BVL: Casa Grande y Cartavio son las más rentables en dividendos en el último año | dividendos | TU-DINERO</t>
        </is>
      </c>
      <c r="F211" s="19" t="inlineStr">
        <is>
          <t>Z_mencion_incidental</t>
        </is>
      </c>
      <c r="G211" s="19" t="n"/>
      <c r="H211" s="20" t="n"/>
      <c r="I211" s="19" t="inlineStr">
        <is>
          <t>Ranking de rentabilidad por dividendos.</t>
        </is>
      </c>
      <c r="J211" s="18" t="inlineStr">
        <is>
          <t>https://gestion.pe/tu-dinero/acciones-bvl-casa-grande-y-cartavio-son-las-mas-rentables-en-dividendos-en-el-ultimo-ano-dividendos-noticia/</t>
        </is>
      </c>
    </row>
    <row r="212" ht="28.05" customHeight="1">
      <c r="A212" s="15" t="n">
        <v>211</v>
      </c>
      <c r="B212" s="15" t="inlineStr">
        <is>
          <t>2023-11-01</t>
        </is>
      </c>
      <c r="C212" s="16" t="inlineStr">
        <is>
          <t>gestion.pe</t>
        </is>
      </c>
      <c r="D212" s="16" t="inlineStr">
        <is>
          <t>Cementos Pacasmayo</t>
        </is>
      </c>
      <c r="E212" s="17" t="inlineStr">
        <is>
          <t>Bolsa de Valores de Lima cerró a la baja tras decisión de la FED de mantener sin cambios las tasas de interés</t>
        </is>
      </c>
      <c r="F212" s="19" t="inlineStr">
        <is>
          <t>Z_indice_bursatil</t>
        </is>
      </c>
      <c r="G212" s="19" t="n"/>
      <c r="H212" s="20" t="n"/>
      <c r="I212" s="19" t="n"/>
      <c r="J212" s="18" t="inlineStr">
        <is>
          <t>https://gestion.pe/economia/mercados/bolsa-de-valores-de-lima-cerro-a-la-baja-tras-decision-de-la-fed-de-mantener-sin-cambios-las-tasas-de-interes-noticia/</t>
        </is>
      </c>
    </row>
    <row r="213" ht="28.05" customHeight="1">
      <c r="A213" s="15" t="n">
        <v>212</v>
      </c>
      <c r="B213" s="15" t="inlineStr">
        <is>
          <t>2023-03-22</t>
        </is>
      </c>
      <c r="C213" s="16" t="inlineStr">
        <is>
          <t>larepublica.pe</t>
        </is>
      </c>
      <c r="D213" s="16" t="inlineStr">
        <is>
          <t>Ferreycorp</t>
        </is>
      </c>
      <c r="E213" s="17" t="inlineStr">
        <is>
          <t>Alcalde de Jicamarca enfrenta a Ethel Pozo en vivo: "Nosotros sí estamos trabajando"</t>
        </is>
      </c>
      <c r="F213" s="19" t="inlineStr">
        <is>
          <t>Z_no_relevante</t>
        </is>
      </c>
      <c r="G213" s="19" t="n"/>
      <c r="H213" s="20" t="n"/>
      <c r="I213" s="19" t="n"/>
      <c r="J213" s="18" t="inlineStr">
        <is>
          <t>https://larepublica.pe/espectaculos/farandula/2023/03/22/ethel-pozo-alcalde-de-jicamarca-enfrenta-a-ethel-pozo-en-vivo-nosotros-si-estamos-trabajando-america-hoy-ciclon-yaku-2081596</t>
        </is>
      </c>
    </row>
    <row r="214" ht="28.05" customHeight="1">
      <c r="A214" s="15" t="n">
        <v>213</v>
      </c>
      <c r="B214" s="15" t="inlineStr">
        <is>
          <t>2022-09-27</t>
        </is>
      </c>
      <c r="C214" s="16" t="inlineStr">
        <is>
          <t>larepublica.pe</t>
        </is>
      </c>
      <c r="D214" s="16" t="inlineStr">
        <is>
          <t>Banco de Credito del Peru (BCP)</t>
        </is>
      </c>
      <c r="E214" s="17" t="inlineStr">
        <is>
          <t>Precio del dólar cierra al alza y alcanza los S/ 3,95 este martes 27 de setiembre</t>
        </is>
      </c>
      <c r="F214" s="19" t="inlineStr">
        <is>
          <t>Z_mencion_incidental</t>
        </is>
      </c>
      <c r="G214" s="19" t="n"/>
      <c r="H214" s="20" t="n"/>
      <c r="I214" s="19" t="inlineStr">
        <is>
          <t>Tipo de cambio.</t>
        </is>
      </c>
      <c r="J214" s="18" t="inlineStr">
        <is>
          <t>https://larepublica.pe/economia/2022/09/27/tipo-de-cambio-precio-del-dolar-cierra-al-alza-y-alcanza-los-s-39500-hoy-martes-27-de-setiembre-del-2022/</t>
        </is>
      </c>
    </row>
    <row r="215" ht="28.05" customHeight="1">
      <c r="A215" s="15" t="n">
        <v>214</v>
      </c>
      <c r="B215" s="15" t="inlineStr">
        <is>
          <t>2020-11-02</t>
        </is>
      </c>
      <c r="C215" s="16" t="inlineStr">
        <is>
          <t>elcomercio.pe</t>
        </is>
      </c>
      <c r="D215" s="16" t="inlineStr">
        <is>
          <t>Luz del Sur</t>
        </is>
      </c>
      <c r="E215" s="17" t="inlineStr">
        <is>
          <t>Luz del Sur | ¿Bajarán las tarifas de luz si el Minem ejecuta la sentencia de la Corte Suprema? Los economistas opinan | Bono electricidad | ECONOMIA</t>
        </is>
      </c>
      <c r="F215" s="19" t="inlineStr">
        <is>
          <t>A_regulatorio_material</t>
        </is>
      </c>
      <c r="G215" s="19" t="inlineStr">
        <is>
          <t>negativo</t>
        </is>
      </c>
      <c r="H215" s="20" t="inlineStr">
        <is>
          <t>x</t>
        </is>
      </c>
      <c r="I215" s="19" t="inlineStr">
        <is>
          <t>Ejecucion de la sentencia apunta a bajar tarifas: menor ingreso para la distribuidora.</t>
        </is>
      </c>
      <c r="J215" s="18" t="inlineStr">
        <is>
          <t>https://elcomercio.pe/economia/dia-1/luz-del-sur-bajaran-las-tarifas-de-luz-si-el-minem-ejecuta-la-sentencia-de-la-corte-suprema-los-economistas-opinan-bono-electricidad-noticia/</t>
        </is>
      </c>
    </row>
    <row r="216" ht="28.05" customHeight="1">
      <c r="A216" s="15" t="n">
        <v>215</v>
      </c>
      <c r="B216" s="15" t="inlineStr">
        <is>
          <t>2018-05-07</t>
        </is>
      </c>
      <c r="C216" s="16" t="inlineStr">
        <is>
          <t>gestion.pe</t>
        </is>
      </c>
      <c r="D216" s="16" t="inlineStr">
        <is>
          <t>Alicorp</t>
        </is>
      </c>
      <c r="E216" s="17" t="inlineStr">
        <is>
          <t>Alicorp a un paso de cerrar la compra de Fino y SAO de Bolivia</t>
        </is>
      </c>
      <c r="F216" s="19" t="inlineStr">
        <is>
          <t>A_ma_reestructuracion</t>
        </is>
      </c>
      <c r="G216" s="19" t="inlineStr">
        <is>
          <t>neutral</t>
        </is>
      </c>
      <c r="H216" s="20" t="n"/>
      <c r="I216" s="19" t="inlineStr">
        <is>
          <t>Compra de Fino y SAO en Bolivia.</t>
        </is>
      </c>
      <c r="J216" s="18" t="inlineStr">
        <is>
          <t>http://gestion.pe/economia/empresas/alicorp-paso-cerrar-compra-fino-sao-bolivia-233095</t>
        </is>
      </c>
    </row>
    <row r="217" ht="28.05" customHeight="1">
      <c r="A217" s="15" t="n">
        <v>216</v>
      </c>
      <c r="B217" s="15" t="inlineStr">
        <is>
          <t>2017-12-21</t>
        </is>
      </c>
      <c r="C217" s="16" t="inlineStr">
        <is>
          <t>elcomercio.pe</t>
        </is>
      </c>
      <c r="D217" s="16" t="inlineStr">
        <is>
          <t>Ferreycorp</t>
        </is>
      </c>
      <c r="E217" s="17" t="inlineStr">
        <is>
          <t>BVL cierra con caída leve atenta al debate de vacancia a PPK</t>
        </is>
      </c>
      <c r="F217" s="19" t="inlineStr">
        <is>
          <t>Z_indice_bursatil</t>
        </is>
      </c>
      <c r="G217" s="19" t="n"/>
      <c r="H217" s="20" t="n"/>
      <c r="I217" s="19" t="n"/>
      <c r="J217" s="18" t="inlineStr">
        <is>
          <t>http://elcomercio.pe/economia/mercados/bvl-cierra-caida-leve-atenta-debate-vacancia-ppk-noticia-483411</t>
        </is>
      </c>
    </row>
    <row r="218" ht="28.05" customHeight="1">
      <c r="A218" s="15" t="n">
        <v>217</v>
      </c>
      <c r="B218" s="15" t="inlineStr">
        <is>
          <t>2024-01-17</t>
        </is>
      </c>
      <c r="C218" s="16" t="inlineStr">
        <is>
          <t>gestion.pe</t>
        </is>
      </c>
      <c r="D218" s="16" t="inlineStr">
        <is>
          <t>Alicorp</t>
        </is>
      </c>
      <c r="E218" s="17" t="inlineStr">
        <is>
          <t>BVL cerró a la baja ante menores expectativas por recorte de tasas de la FED</t>
        </is>
      </c>
      <c r="F218" s="19" t="inlineStr">
        <is>
          <t>Z_indice_bursatil</t>
        </is>
      </c>
      <c r="G218" s="19" t="n"/>
      <c r="H218" s="20" t="n"/>
      <c r="I218" s="19" t="n"/>
      <c r="J218" s="18" t="inlineStr">
        <is>
          <t>https://gestion.pe/economia/mercados/bvl-cerro-a-la-baja-ante-menores-expectativas-por-recorte-de-tasas-de-la-fed-noticia/</t>
        </is>
      </c>
    </row>
    <row r="219" ht="28.05" customHeight="1">
      <c r="A219" s="15" t="n">
        <v>218</v>
      </c>
      <c r="B219" s="15" t="inlineStr">
        <is>
          <t>2019-03-27</t>
        </is>
      </c>
      <c r="C219" s="16" t="inlineStr">
        <is>
          <t>larepublica.pe</t>
        </is>
      </c>
      <c r="D219" s="16" t="inlineStr">
        <is>
          <t>Cementos Pacasmayo</t>
        </is>
      </c>
      <c r="E219" s="17" t="inlineStr">
        <is>
          <t>CIP emitirá informe sobre situación de Av. Guardia Civil</t>
        </is>
      </c>
      <c r="F219" s="19" t="inlineStr">
        <is>
          <t>Z_no_relevante</t>
        </is>
      </c>
      <c r="G219" s="19" t="n"/>
      <c r="H219" s="20" t="n"/>
      <c r="I219" s="19" t="n"/>
      <c r="J219" s="18" t="inlineStr">
        <is>
          <t>https://larepublica.pe/politica/1438157-cip-emitira-informe-situacion-av-guardia-civil</t>
        </is>
      </c>
    </row>
    <row r="220" ht="28.05" customHeight="1">
      <c r="A220" s="15" t="n">
        <v>219</v>
      </c>
      <c r="B220" s="15" t="inlineStr">
        <is>
          <t>2022-04-21</t>
        </is>
      </c>
      <c r="C220" s="16" t="inlineStr">
        <is>
          <t>gestion.pe</t>
        </is>
      </c>
      <c r="D220" s="16" t="inlineStr">
        <is>
          <t>Alicorp</t>
        </is>
      </c>
      <c r="E220" s="17" t="inlineStr">
        <is>
          <t>Bolsa de Valores de Lima | BVL cae en sintonía con mercados globales</t>
        </is>
      </c>
      <c r="F220" s="19" t="inlineStr">
        <is>
          <t>Z_indice_bursatil</t>
        </is>
      </c>
      <c r="G220" s="19" t="n"/>
      <c r="H220" s="20" t="n"/>
      <c r="I220" s="19" t="n"/>
      <c r="J220" s="18" t="inlineStr">
        <is>
          <t>https://gestion.pe/economia/mercados/bolsa-de-valores-de-lima-bvl-cae-en-sintonia-con-mercados-globales-rmmn-noticia/</t>
        </is>
      </c>
    </row>
    <row r="221" ht="28.05" customHeight="1">
      <c r="A221" s="15" t="n">
        <v>220</v>
      </c>
      <c r="B221" s="15" t="inlineStr">
        <is>
          <t>2020-05-07</t>
        </is>
      </c>
      <c r="C221" s="16" t="inlineStr">
        <is>
          <t>elcomercio.pe</t>
        </is>
      </c>
      <c r="D221" s="16" t="inlineStr">
        <is>
          <t>Alicorp</t>
        </is>
      </c>
      <c r="E221" s="17" t="inlineStr">
        <is>
          <t>Una papa caliente: ¿Por qué cayeron los precios del tubérculo a la mitad durante la cuarentena?</t>
        </is>
      </c>
      <c r="F221" s="19" t="inlineStr">
        <is>
          <t>Z_sector_macro</t>
        </is>
      </c>
      <c r="G221" s="19" t="n"/>
      <c r="H221" s="20" t="n"/>
      <c r="I221" s="19" t="inlineStr">
        <is>
          <t>Precio de un insumo agricola.</t>
        </is>
      </c>
      <c r="J221" s="18" t="inlineStr">
        <is>
          <t>https://elcomercio.pe/economia/dia-1/produccion-de-papa-por-que-cayeron-los-precios-del-tuberculo-a-la-mitad-durante-la-cuarentena-informe-noticia/</t>
        </is>
      </c>
    </row>
    <row r="222" ht="28.05" customHeight="1">
      <c r="A222" s="15" t="n">
        <v>221</v>
      </c>
      <c r="B222" s="15" t="inlineStr">
        <is>
          <t>2024-01-17</t>
        </is>
      </c>
      <c r="C222" s="16" t="inlineStr">
        <is>
          <t>gestion.pe</t>
        </is>
      </c>
      <c r="D222" s="16" t="inlineStr">
        <is>
          <t>Minsur</t>
        </is>
      </c>
      <c r="E222" s="17" t="inlineStr">
        <is>
          <t>Ranking de rentabilidad 2023: las mejores y peores inversiones de los peruanos</t>
        </is>
      </c>
      <c r="F222" s="19" t="inlineStr">
        <is>
          <t>Z_indice_bursatil</t>
        </is>
      </c>
      <c r="G222" s="19" t="n"/>
      <c r="H222" s="20" t="n"/>
      <c r="I222" s="19" t="inlineStr">
        <is>
          <t>Ranking de rentabilidad de inversiones (ver fila 68).</t>
        </is>
      </c>
      <c r="J222" s="18" t="inlineStr">
        <is>
          <t>https://gestion.pe/economia/ranking-de-rentabilidad-2023-las-mejores-y-peores-inversiones-de-los-peruanos-alternativas-de-inversion-rentabilidad-de-inversiones-en-peru-mcf-bolsa-de-lima-noticia/</t>
        </is>
      </c>
    </row>
    <row r="223" ht="28.05" customHeight="1">
      <c r="A223" s="15" t="n">
        <v>222</v>
      </c>
      <c r="B223" s="15" t="inlineStr">
        <is>
          <t>2025-10-10</t>
        </is>
      </c>
      <c r="C223" s="16" t="inlineStr">
        <is>
          <t>gestion.pe</t>
        </is>
      </c>
      <c r="D223" s="16" t="inlineStr">
        <is>
          <t>Banco de Credito del Peru (BCP)</t>
        </is>
      </c>
      <c r="E223" s="17" t="inlineStr">
        <is>
          <t>Octavo retiro de AFP: en estos bancos y cajas podrás disponer de tu dinero</t>
        </is>
      </c>
      <c r="F223" s="19" t="inlineStr">
        <is>
          <t>Z_mencion_incidental</t>
        </is>
      </c>
      <c r="G223" s="19" t="n"/>
      <c r="H223" s="20" t="n"/>
      <c r="I223" s="19" t="inlineStr">
        <is>
          <t>Retiro de AFP con la banca como canal.</t>
        </is>
      </c>
      <c r="J223" s="18" t="inlineStr">
        <is>
          <t>https://gestion.pe/tu-dinero/octavo-retiro-de-afp-en-estos-bancos-y-cajas-podras-disponer-de-tu-dinero-noticia/</t>
        </is>
      </c>
    </row>
    <row r="224" ht="28.05" customHeight="1">
      <c r="A224" s="15" t="n">
        <v>223</v>
      </c>
      <c r="B224" s="15" t="inlineStr">
        <is>
          <t>2021-02-24</t>
        </is>
      </c>
      <c r="C224" s="16" t="inlineStr">
        <is>
          <t>elcomercio.pe</t>
        </is>
      </c>
      <c r="D224" s="16" t="inlineStr">
        <is>
          <t>Aceros Arequipa</t>
        </is>
      </c>
      <c r="E224" s="17" t="inlineStr">
        <is>
          <t>BVL Bolsa de Valores de Lima abre mixto ante comportamiento errático de sectores financiero y minero nndc</t>
        </is>
      </c>
      <c r="F224" s="19" t="inlineStr">
        <is>
          <t>Z_indice_bursatil</t>
        </is>
      </c>
      <c r="G224" s="19" t="n"/>
      <c r="H224" s="20" t="n"/>
      <c r="I224" s="19" t="n"/>
      <c r="J224" s="18" t="n"/>
    </row>
    <row r="225" ht="28.05" customHeight="1">
      <c r="A225" s="15" t="n">
        <v>224</v>
      </c>
      <c r="B225" s="15" t="inlineStr">
        <is>
          <t>2021-12-20</t>
        </is>
      </c>
      <c r="C225" s="16" t="inlineStr">
        <is>
          <t>gestion.pe</t>
        </is>
      </c>
      <c r="D225" s="16" t="inlineStr">
        <is>
          <t>Minsur</t>
        </is>
      </c>
      <c r="E225" s="17" t="inlineStr">
        <is>
          <t>Monkeyfit diversifica oferta hacia programas de entrenamiento híbridos</t>
        </is>
      </c>
      <c r="F225" s="19" t="inlineStr">
        <is>
          <t>Z_no_relevante</t>
        </is>
      </c>
      <c r="G225" s="19" t="n"/>
      <c r="H225" s="20" t="n"/>
      <c r="I225" s="19" t="n"/>
      <c r="J225" s="18" t="inlineStr">
        <is>
          <t>https://gestion.pe/economia/empresas/monkeyfit-diversifica-oferta-hacia-programas-de-entrenamiento-hibridos-noticia/</t>
        </is>
      </c>
    </row>
    <row r="226" ht="28.05" customHeight="1">
      <c r="A226" s="15" t="n">
        <v>225</v>
      </c>
      <c r="B226" s="15" t="inlineStr">
        <is>
          <t>2018-01-09</t>
        </is>
      </c>
      <c r="C226" s="16" t="inlineStr">
        <is>
          <t>elcomercio.pe</t>
        </is>
      </c>
      <c r="D226" s="16" t="inlineStr">
        <is>
          <t>Ferreycorp</t>
        </is>
      </c>
      <c r="E226" s="17" t="inlineStr">
        <is>
          <t>Ádex cree que con Gabinete se retomará agenda de trabajo</t>
        </is>
      </c>
      <c r="F226" s="19" t="inlineStr">
        <is>
          <t>Z_sector_macro</t>
        </is>
      </c>
      <c r="G226" s="19" t="n"/>
      <c r="H226" s="20" t="n"/>
      <c r="I226" s="19" t="n"/>
      <c r="J226" s="18" t="inlineStr">
        <is>
          <t>http://elcomercio.pe/politica/adex-cree-nuevo-gabinete-retomara-agenda-noticia-487823</t>
        </is>
      </c>
    </row>
    <row r="227" ht="28.05" customHeight="1">
      <c r="A227" s="15" t="n">
        <v>226</v>
      </c>
      <c r="B227" s="15" t="inlineStr">
        <is>
          <t>2017-11-30</t>
        </is>
      </c>
      <c r="C227" s="16" t="inlineStr">
        <is>
          <t>gestion.pe</t>
        </is>
      </c>
      <c r="D227" s="16" t="inlineStr">
        <is>
          <t>Ferreycorp</t>
        </is>
      </c>
      <c r="E227" s="17" t="inlineStr">
        <is>
          <t>BVL cae por cuarta sesión consecutiva, presiona baja de minera Buenaventura</t>
        </is>
      </c>
      <c r="F227" s="19" t="inlineStr">
        <is>
          <t>Z_indice_bursatil</t>
        </is>
      </c>
      <c r="G227" s="19" t="n"/>
      <c r="H227" s="20" t="n"/>
      <c r="I227" s="19" t="n"/>
      <c r="J227" s="18" t="inlineStr">
        <is>
          <t>http://gestion.pe/economia/mercados/bvl-cae-cuarta-sesion-consecutiva-presiona-baja-minera-buenaventura-221797</t>
        </is>
      </c>
    </row>
    <row r="228" ht="28.05" customHeight="1">
      <c r="A228" s="15" t="n">
        <v>227</v>
      </c>
      <c r="B228" s="15" t="inlineStr">
        <is>
          <t>2024-05-18</t>
        </is>
      </c>
      <c r="C228" s="16" t="inlineStr">
        <is>
          <t>gestion.pe</t>
        </is>
      </c>
      <c r="D228" s="16" t="inlineStr">
        <is>
          <t>InRetail Peru Corp</t>
        </is>
      </c>
      <c r="E228" s="17" t="inlineStr">
        <is>
          <t>InRetail: Acciones pueden subir hasta un 35%</t>
        </is>
      </c>
      <c r="F228" s="19" t="inlineStr">
        <is>
          <t>C_analisis_opinion</t>
        </is>
      </c>
      <c r="G228" s="19" t="inlineStr">
        <is>
          <t>positivo</t>
        </is>
      </c>
      <c r="H228" s="20" t="n"/>
      <c r="I228" s="19" t="inlineStr">
        <is>
          <t>Potencial de alza estimado para la accion de InRetail.</t>
        </is>
      </c>
      <c r="J228" s="18" t="inlineStr">
        <is>
          <t>https://gestion.pe/tu-dinero/inretail-acciones-pueden-subir-hasta-un-35-makro-mass-bvl-noticia/</t>
        </is>
      </c>
    </row>
    <row r="229" ht="28.05" customHeight="1">
      <c r="A229" s="15" t="n">
        <v>228</v>
      </c>
      <c r="B229" s="15" t="inlineStr">
        <is>
          <t>2023-04-28</t>
        </is>
      </c>
      <c r="C229" s="16" t="inlineStr">
        <is>
          <t>larepublica.pe</t>
        </is>
      </c>
      <c r="D229" s="16" t="inlineStr">
        <is>
          <t>Luz del Sur</t>
        </is>
      </c>
      <c r="E229" s="17" t="inlineStr">
        <is>
          <t>Doctor Olaya denuncia que extorsionadores lo amenazan con lanzar granada</t>
        </is>
      </c>
      <c r="F229" s="19" t="inlineStr">
        <is>
          <t>Z_no_relevante</t>
        </is>
      </c>
      <c r="G229" s="19" t="n"/>
      <c r="H229" s="20" t="n"/>
      <c r="I229" s="19" t="n"/>
      <c r="J229" s="18" t="inlineStr">
        <is>
          <t>https://larepublica.pe/sociedad/2023/04/28/doctor-olaya-denuncia-que-extorsionadores-lo-amenazan-con-lanzarse-granadas-inseguridad-ciudadana-delincuencia-extorsionadores-en-lima-mdga-2190412</t>
        </is>
      </c>
    </row>
    <row r="230" ht="28.05" customHeight="1">
      <c r="A230" s="15" t="n">
        <v>229</v>
      </c>
      <c r="B230" s="15" t="inlineStr">
        <is>
          <t>2023-02-06</t>
        </is>
      </c>
      <c r="C230" s="16" t="inlineStr">
        <is>
          <t>gestion.pe</t>
        </is>
      </c>
      <c r="D230" s="16" t="inlineStr">
        <is>
          <t>Aceros Arequipa</t>
        </is>
      </c>
      <c r="E230" s="17" t="inlineStr">
        <is>
          <t>BVL cierra al alza ante expectativas por tasas de interés más altas en Estados Unidos</t>
        </is>
      </c>
      <c r="F230" s="19" t="inlineStr">
        <is>
          <t>Z_indice_bursatil</t>
        </is>
      </c>
      <c r="G230" s="19" t="n"/>
      <c r="H230" s="20" t="n"/>
      <c r="I230" s="19" t="n"/>
      <c r="J230" s="18" t="inlineStr">
        <is>
          <t>https://gestion.pe/economia/mercados/bvl-cierra-al-alza-ante-expectativas-por-tasas-de-interes-mas-altas-en-estados-unidos-noticia/</t>
        </is>
      </c>
    </row>
    <row r="231" ht="28.05" customHeight="1">
      <c r="A231" s="15" t="n">
        <v>230</v>
      </c>
      <c r="B231" s="15" t="inlineStr">
        <is>
          <t>2022-07-31</t>
        </is>
      </c>
      <c r="C231" s="16" t="inlineStr">
        <is>
          <t>larepublica.pe</t>
        </is>
      </c>
      <c r="D231" s="16" t="inlineStr">
        <is>
          <t>Alicorp</t>
        </is>
      </c>
      <c r="E231" s="17" t="inlineStr">
        <is>
          <t>Alicorp: la vez que decidió cambiarle el nombre a Negrita por considerarlo racista</t>
        </is>
      </c>
      <c r="F231" s="19" t="inlineStr">
        <is>
          <t>Z_marketing_promocion</t>
        </is>
      </c>
      <c r="G231" s="19" t="n"/>
      <c r="H231" s="20" t="inlineStr">
        <is>
          <t>x</t>
        </is>
      </c>
      <c r="I231" s="19" t="inlineStr">
        <is>
          <t>Retrospectiva del cambio de marca Negrita. Familia con 348.</t>
        </is>
      </c>
      <c r="J231" s="18" t="inlineStr">
        <is>
          <t>https://larepublica.pe/datos-lr/respuestas/2022/07/31/alicorp-la-vez-que-decidio-cambiarle-el-nombre-a-negrita-por-considerarlo-racista-negrita-alicorp-cambia-de-nombre-alicorp-peru-negrita-evat/</t>
        </is>
      </c>
    </row>
    <row r="232" ht="28.05" customHeight="1">
      <c r="A232" s="15" t="n">
        <v>231</v>
      </c>
      <c r="B232" s="15" t="inlineStr">
        <is>
          <t>2023-11-21</t>
        </is>
      </c>
      <c r="C232" s="16" t="inlineStr">
        <is>
          <t>elcomercio.pe</t>
        </is>
      </c>
      <c r="D232" s="16" t="inlineStr">
        <is>
          <t>Banco de Credito del Peru (BCP)</t>
        </is>
      </c>
      <c r="E232" s="17" t="inlineStr">
        <is>
          <t>Valor de las acciones de empresas argentinas crecen a doble dígito tras la elección de Javier Milei</t>
        </is>
      </c>
      <c r="F232" s="19" t="inlineStr">
        <is>
          <t>Z_sector_macro</t>
        </is>
      </c>
      <c r="G232" s="19" t="n"/>
      <c r="H232" s="20" t="n"/>
      <c r="I232" s="19" t="inlineStr">
        <is>
          <t>Mercados externos.</t>
        </is>
      </c>
      <c r="J232" s="18" t="inlineStr">
        <is>
          <t>https://elcomercio.pe/economia/argentina-valor-de-las-acciones-de-empresas-argentinas-crecen-a-doble-digito-tras-la-eleccion-de-javier-milei-noticia/</t>
        </is>
      </c>
    </row>
    <row r="233" ht="28.05" customHeight="1">
      <c r="A233" s="15" t="n">
        <v>232</v>
      </c>
      <c r="B233" s="15" t="inlineStr">
        <is>
          <t>2023-05-11</t>
        </is>
      </c>
      <c r="C233" s="16" t="inlineStr">
        <is>
          <t>gestion.pe</t>
        </is>
      </c>
      <c r="D233" s="16" t="inlineStr">
        <is>
          <t>Minsur</t>
        </is>
      </c>
      <c r="E233" s="17" t="inlineStr">
        <is>
          <t>Producción de cobre creció 11.2% en el primer trimestre por aporte de Quellaveco</t>
        </is>
      </c>
      <c r="F233" s="19" t="inlineStr">
        <is>
          <t>Z_sector_macro</t>
        </is>
      </c>
      <c r="G233" s="19" t="n"/>
      <c r="H233" s="20" t="n"/>
      <c r="I233" s="19" t="inlineStr">
        <is>
          <t>Produccion de cobre; Minsur no produce cobre.</t>
        </is>
      </c>
      <c r="J233" s="18" t="inlineStr">
        <is>
          <t>https://gestion.pe/economia/produccion-de-cobre-crecio-112-en-el-primer-trimestre-por-aporte-de-quellaveco-minem-mineria-sociedad-minera-cerro-verde-southern-peru-copper-corporation-antamina-noticia/</t>
        </is>
      </c>
    </row>
    <row r="234" ht="28.05" customHeight="1">
      <c r="A234" s="15" t="n">
        <v>233</v>
      </c>
      <c r="B234" s="15" t="inlineStr">
        <is>
          <t>2023-07-12</t>
        </is>
      </c>
      <c r="C234" s="16" t="inlineStr">
        <is>
          <t>larepublica.pe</t>
        </is>
      </c>
      <c r="D234" s="16" t="inlineStr">
        <is>
          <t>Banco de Credito del Peru (BCP)</t>
        </is>
      </c>
      <c r="E234" s="17" t="inlineStr">
        <is>
          <t>Dólar se desploma a su nivel más bajo en casi 3 años: S/3,5820</t>
        </is>
      </c>
      <c r="F234" s="19" t="inlineStr">
        <is>
          <t>Z_mencion_incidental</t>
        </is>
      </c>
      <c r="G234" s="19" t="n"/>
      <c r="H234" s="20" t="n"/>
      <c r="I234" s="19" t="inlineStr">
        <is>
          <t>Tipo de cambio.</t>
        </is>
      </c>
      <c r="J234" s="18" t="inlineStr">
        <is>
          <t>https://larepublica.pe/economia/2023/07/12/dolar-se-desploma-a-su-nivel-mas-bajo-en-casi-3-anos-s35820-tipo-de-cambio-peru-389700</t>
        </is>
      </c>
    </row>
    <row r="235" ht="28.05" customHeight="1">
      <c r="A235" s="15" t="n">
        <v>234</v>
      </c>
      <c r="B235" s="15" t="inlineStr">
        <is>
          <t>2021-12-02</t>
        </is>
      </c>
      <c r="C235" s="16" t="inlineStr">
        <is>
          <t>gestion.pe</t>
        </is>
      </c>
      <c r="D235" s="16" t="inlineStr">
        <is>
          <t>Aceros Arequipa</t>
        </is>
      </c>
      <c r="E235" s="17" t="inlineStr">
        <is>
          <t>Bolsa de Valores de Lima opera en verde en medio de preocupaciones por ómicron en mercados internacionales NNDC</t>
        </is>
      </c>
      <c r="F235" s="19" t="inlineStr">
        <is>
          <t>Z_indice_bursatil</t>
        </is>
      </c>
      <c r="G235" s="19" t="n"/>
      <c r="H235" s="20" t="n"/>
      <c r="I235" s="19" t="n"/>
      <c r="J235" s="18" t="inlineStr">
        <is>
          <t>https://gestion.pe/economia/mercados/bolsa-de-valores-de-lima-opera-en-verde-en-medio-de-preocupaciones-por-omicron-en-mercados-internacionales-nndc-noticia/</t>
        </is>
      </c>
    </row>
    <row r="236" ht="28.05" customHeight="1">
      <c r="A236" s="15" t="n">
        <v>235</v>
      </c>
      <c r="B236" s="15" t="inlineStr">
        <is>
          <t>2017-10-11</t>
        </is>
      </c>
      <c r="C236" s="16" t="inlineStr">
        <is>
          <t>gestion.pe</t>
        </is>
      </c>
      <c r="D236" s="16" t="inlineStr">
        <is>
          <t>Alicorp</t>
        </is>
      </c>
      <c r="E236" s="17" t="inlineStr">
        <is>
          <t>Créditos de consumo y para mypes despegarán si Perú clasifica a Rusia</t>
        </is>
      </c>
      <c r="F236" s="19" t="inlineStr">
        <is>
          <t>Z_sector_macro</t>
        </is>
      </c>
      <c r="G236" s="19" t="n"/>
      <c r="H236" s="20" t="n"/>
      <c r="I236" s="19" t="n"/>
      <c r="J236" s="18" t="inlineStr">
        <is>
          <t>https://gestion.pe/economia/creditos-consumo-y-mypes-despegaran-si-peru-clasifica-rusia-2202103</t>
        </is>
      </c>
    </row>
    <row r="237" ht="28.05" customHeight="1">
      <c r="A237" s="15" t="n">
        <v>236</v>
      </c>
      <c r="B237" s="15" t="inlineStr">
        <is>
          <t>2021-07-03</t>
        </is>
      </c>
      <c r="C237" s="16" t="inlineStr">
        <is>
          <t>larepublica.pe</t>
        </is>
      </c>
      <c r="D237" s="16" t="inlineStr">
        <is>
          <t>Cementos Pacasmayo</t>
        </is>
      </c>
      <c r="E237" s="17" t="inlineStr">
        <is>
          <t>La Libertad: llegó nueva planta de oxígeno para Otuzco</t>
        </is>
      </c>
      <c r="F237" s="19" t="inlineStr">
        <is>
          <t>Z_no_relevante</t>
        </is>
      </c>
      <c r="G237" s="19" t="n"/>
      <c r="H237" s="20" t="n"/>
      <c r="I237" s="19" t="n"/>
      <c r="J237" s="18" t="inlineStr">
        <is>
          <t>https://larepublica.pe/sociedad/2021/07/03/la-libertad-llego-nueva-planta-de-oxigeno-para-otuzco-lrnd/</t>
        </is>
      </c>
    </row>
    <row r="238" ht="28.05" customHeight="1">
      <c r="A238" s="15" t="n">
        <v>237</v>
      </c>
      <c r="B238" s="15" t="inlineStr">
        <is>
          <t>2021-11-16</t>
        </is>
      </c>
      <c r="C238" s="16" t="inlineStr">
        <is>
          <t>larepublica.pe</t>
        </is>
      </c>
      <c r="D238" s="16" t="inlineStr">
        <is>
          <t>Ferreycorp</t>
        </is>
      </c>
      <c r="E238" s="17" t="inlineStr">
        <is>
          <t>¿Eres empresario y buscas personal calificado? Pronabec publica lista con 10.000 talentos egresados</t>
        </is>
      </c>
      <c r="F238" s="19" t="inlineStr">
        <is>
          <t>Z_no_relevante</t>
        </is>
      </c>
      <c r="G238" s="19" t="n"/>
      <c r="H238" s="20" t="n"/>
      <c r="I238" s="19" t="n"/>
      <c r="J238" s="18" t="inlineStr">
        <is>
          <t>https://larepublica.pe/economia/2021/11/16/eres-empresario-y-buscas-personal-calificado-pronabec-publica-lista-con-10000-talentos-egresados/</t>
        </is>
      </c>
    </row>
    <row r="239" ht="28.05" customHeight="1">
      <c r="A239" s="15" t="n">
        <v>238</v>
      </c>
      <c r="B239" s="15" t="inlineStr">
        <is>
          <t>2022-05-25</t>
        </is>
      </c>
      <c r="C239" s="16" t="inlineStr">
        <is>
          <t>gestion.pe</t>
        </is>
      </c>
      <c r="D239" s="16" t="inlineStr">
        <is>
          <t>Saga Falabella</t>
        </is>
      </c>
      <c r="E239" s="17" t="inlineStr">
        <is>
          <t>Inflación y promociones frenarían recuperación de tiendas por departamento</t>
        </is>
      </c>
      <c r="F239" s="19" t="inlineStr">
        <is>
          <t>Z_sector_macro</t>
        </is>
      </c>
      <c r="G239" s="19" t="n"/>
      <c r="H239" s="20" t="n"/>
      <c r="I239" s="19" t="inlineStr">
        <is>
          <t>Perspectiva del sector tiendas por departamento.</t>
        </is>
      </c>
      <c r="J239" s="18" t="n"/>
    </row>
    <row r="240" ht="28.05" customHeight="1">
      <c r="A240" s="15" t="n">
        <v>239</v>
      </c>
      <c r="B240" s="15" t="inlineStr">
        <is>
          <t>2014-06-19</t>
        </is>
      </c>
      <c r="C240" s="16" t="inlineStr">
        <is>
          <t>larepublica.pe</t>
        </is>
      </c>
      <c r="D240" s="16" t="inlineStr">
        <is>
          <t>Minsur</t>
        </is>
      </c>
      <c r="E240" s="17" t="inlineStr">
        <is>
          <t>Los nuevos apóstoles de la economía peruana</t>
        </is>
      </c>
      <c r="F240" s="19" t="inlineStr">
        <is>
          <t>Z_no_relevante</t>
        </is>
      </c>
      <c r="G240" s="19" t="n"/>
      <c r="H240" s="20" t="inlineStr">
        <is>
          <t>x</t>
        </is>
      </c>
      <c r="I240" s="19" t="inlineStr">
        <is>
          <t>Titular opaco, no permite clasificar. Igual que la fila 405.</t>
        </is>
      </c>
      <c r="J240" s="18" t="inlineStr">
        <is>
          <t>http://www.larepublica.pe/19-06-2014/los-nuevos-apostoles-de-la-economia-peruana</t>
        </is>
      </c>
    </row>
    <row r="241" ht="28.05" customHeight="1">
      <c r="A241" s="15" t="n">
        <v>240</v>
      </c>
      <c r="B241" s="15" t="inlineStr">
        <is>
          <t>2020-09-24</t>
        </is>
      </c>
      <c r="C241" s="16" t="inlineStr">
        <is>
          <t>larepublica.pe</t>
        </is>
      </c>
      <c r="D241" s="16" t="inlineStr">
        <is>
          <t>Cementos Pacasmayo</t>
        </is>
      </c>
      <c r="E241" s="17" t="inlineStr">
        <is>
          <t>Intervienen a presuntos miembros de banda “Los Panaderos de la Pasta” en La Libertad</t>
        </is>
      </c>
      <c r="F241" s="19" t="inlineStr">
        <is>
          <t>Z_no_relevante</t>
        </is>
      </c>
      <c r="G241" s="19" t="n"/>
      <c r="H241" s="20" t="n"/>
      <c r="I241" s="19" t="n"/>
      <c r="J241" s="18" t="inlineStr">
        <is>
          <t>https://larepublica.pe/sociedad/2020/09/24/intervienen-a-presuntos-miembros-de-banda-los-panaderos-de-la-pasta-en-la-libertad-lrnd/</t>
        </is>
      </c>
    </row>
    <row r="242" ht="28.05" customHeight="1">
      <c r="A242" s="15" t="n">
        <v>241</v>
      </c>
      <c r="B242" s="15" t="inlineStr">
        <is>
          <t>2021-09-13</t>
        </is>
      </c>
      <c r="C242" s="16" t="inlineStr">
        <is>
          <t>larepublica.pe</t>
        </is>
      </c>
      <c r="D242" s="16" t="inlineStr">
        <is>
          <t>Aceros Arequipa</t>
        </is>
      </c>
      <c r="E242" s="17" t="inlineStr">
        <is>
          <t>BVL: dividendos de las principales 20 empresas se duplicaron en 2021</t>
        </is>
      </c>
      <c r="F242" s="19" t="inlineStr">
        <is>
          <t>Z_mencion_incidental</t>
        </is>
      </c>
      <c r="G242" s="19" t="n"/>
      <c r="H242" s="20" t="n"/>
      <c r="I242" s="19" t="inlineStr">
        <is>
          <t>Dividendos agregados de la BVL.</t>
        </is>
      </c>
      <c r="J242" s="18" t="inlineStr">
        <is>
          <t>https://larepublica.pe/economia/2021/09/13/bvl-dividendos-de-las-principales-20-empresas-se-duplicaron-en-2021/</t>
        </is>
      </c>
    </row>
    <row r="243" ht="28.05" customHeight="1">
      <c r="A243" s="15" t="n">
        <v>242</v>
      </c>
      <c r="B243" s="15" t="inlineStr">
        <is>
          <t>2023-02-09</t>
        </is>
      </c>
      <c r="C243" s="16" t="inlineStr">
        <is>
          <t>gestion.pe</t>
        </is>
      </c>
      <c r="D243" s="16" t="inlineStr">
        <is>
          <t>Aceros Arequipa</t>
        </is>
      </c>
      <c r="E243" s="17" t="inlineStr">
        <is>
          <t>Aceros Arequipa recorta ganancias por mayores costos y define proyectos por US$ 163 mllns.</t>
        </is>
      </c>
      <c r="F243" s="19" t="inlineStr">
        <is>
          <t>A_resultados</t>
        </is>
      </c>
      <c r="G243" s="19" t="inlineStr">
        <is>
          <t>negativo</t>
        </is>
      </c>
      <c r="H243" s="20" t="n"/>
      <c r="I243" s="19" t="inlineStr">
        <is>
          <t>Recorte de ganancias por costos; el titular tambien anuncia proyectos, pero manda el resultado.</t>
        </is>
      </c>
      <c r="J243" s="18" t="inlineStr">
        <is>
          <t>https://gestion.pe/economia/empresas/empresas-siderurgicas-aceros-arequipa-recorta-ganancias-por-mayores-costos-y-define-proyectos-por-us-163-mllns-noticia/</t>
        </is>
      </c>
    </row>
    <row r="244" ht="28.05" customHeight="1">
      <c r="A244" s="15" t="n">
        <v>243</v>
      </c>
      <c r="B244" s="15" t="inlineStr">
        <is>
          <t>2020-11-11</t>
        </is>
      </c>
      <c r="C244" s="16" t="inlineStr">
        <is>
          <t>gestion.pe</t>
        </is>
      </c>
      <c r="D244" s="16" t="inlineStr">
        <is>
          <t>Aceros Arequipa</t>
        </is>
      </c>
      <c r="E244" s="17" t="inlineStr">
        <is>
          <t>BVL Bolsa de Valores de Lima cierra con ganancias apoyado en sector financiero tras conocerse nuevo titular de la PCM nndc</t>
        </is>
      </c>
      <c r="F244" s="19" t="inlineStr">
        <is>
          <t>Z_indice_bursatil</t>
        </is>
      </c>
      <c r="G244" s="19" t="n"/>
      <c r="H244" s="20" t="n"/>
      <c r="I244" s="19" t="n"/>
      <c r="J244" s="18" t="inlineStr">
        <is>
          <t>https://gestion.pe/economia/mercados/bvl-bolsa-de-valores-de-lima-cierra-con-ganancias-apoyado-en-sector-financiero-tras-conocerse-nuevo-titular-de-la-pcm-nndc-noticia/</t>
        </is>
      </c>
    </row>
    <row r="245" ht="28.05" customHeight="1">
      <c r="A245" s="15" t="n">
        <v>244</v>
      </c>
      <c r="B245" s="15" t="inlineStr">
        <is>
          <t>2021-10-28</t>
        </is>
      </c>
      <c r="C245" s="16" t="inlineStr">
        <is>
          <t>gestion.pe</t>
        </is>
      </c>
      <c r="D245" s="16" t="inlineStr">
        <is>
          <t>Ferreycorp</t>
        </is>
      </c>
      <c r="E245" s="17" t="inlineStr">
        <is>
          <t>Cementos Pacasmayo aumentará su capacidad de producción de clínker</t>
        </is>
      </c>
      <c r="F245" s="19" t="inlineStr">
        <is>
          <t>Z_no_relevante</t>
        </is>
      </c>
      <c r="G245" s="19" t="n"/>
      <c r="H245" s="20" t="inlineStr">
        <is>
          <t>x</t>
        </is>
      </c>
      <c r="I245" s="19" t="inlineStr">
        <is>
          <t>La noticia es de Cementos Pacasmayo; la fila es Ferreycorp.</t>
        </is>
      </c>
      <c r="J245" s="18" t="inlineStr">
        <is>
          <t>https://gestion.pe/economia/empresas/cementos-pacasmayo-aumentara-su-capacidad-de-produccion-de-clinker-noticia/</t>
        </is>
      </c>
    </row>
    <row r="246" ht="28.05" customHeight="1">
      <c r="A246" s="15" t="n">
        <v>245</v>
      </c>
      <c r="B246" s="15" t="inlineStr">
        <is>
          <t>2025-01-11</t>
        </is>
      </c>
      <c r="C246" s="16" t="inlineStr">
        <is>
          <t>larepublica.pe</t>
        </is>
      </c>
      <c r="D246" s="16" t="inlineStr">
        <is>
          <t>Banco de Credito del Peru (BCP)</t>
        </is>
      </c>
      <c r="E246" s="17" t="inlineStr">
        <is>
          <t>Ley que restituye el financiamiento de empresas a partidos políticos no evita el ‘pitufeo’</t>
        </is>
      </c>
      <c r="F246" s="19" t="inlineStr">
        <is>
          <t>Z_no_relevante</t>
        </is>
      </c>
      <c r="G246" s="19" t="n"/>
      <c r="H246" s="20" t="n"/>
      <c r="I246" s="19" t="n"/>
      <c r="J246" s="18" t="inlineStr">
        <is>
          <t>https://larepublica.pe/politica/2025/01/11/congreso-keiko-fujimori-ley-que-restituye-el-financiamiento-de-empresas-a-partidos-politicos-no-evita-el-pitufeo-alertan-especialistas-hnews-399069</t>
        </is>
      </c>
    </row>
    <row r="247" ht="28.05" customHeight="1">
      <c r="A247" s="15" t="n">
        <v>246</v>
      </c>
      <c r="B247" s="15" t="inlineStr">
        <is>
          <t>2017-03-06</t>
        </is>
      </c>
      <c r="C247" s="16" t="inlineStr">
        <is>
          <t>elcomercio.pe</t>
        </is>
      </c>
      <c r="D247" s="16" t="inlineStr">
        <is>
          <t>Cementos Pacasmayo</t>
        </is>
      </c>
      <c r="E247" s="17" t="inlineStr">
        <is>
          <t>¿Cuán expuestos están los fondos de AFP a las acciones?</t>
        </is>
      </c>
      <c r="F247" s="19" t="inlineStr">
        <is>
          <t>Z_indice_bursatil</t>
        </is>
      </c>
      <c r="G247" s="19" t="n"/>
      <c r="H247" s="20" t="n"/>
      <c r="I247" s="19" t="inlineStr">
        <is>
          <t>Exposicion de las AFP a la bolsa (ver fila 68).</t>
        </is>
      </c>
      <c r="J247" s="18" t="inlineStr">
        <is>
          <t>http://elcomercio.pe/economia/peru/cuan-expuestos-estan-fondos-afp-acciones-noticia-1973598</t>
        </is>
      </c>
    </row>
    <row r="248" ht="28.05" customHeight="1">
      <c r="A248" s="15" t="n">
        <v>247</v>
      </c>
      <c r="B248" s="15" t="inlineStr">
        <is>
          <t>2018-03-12</t>
        </is>
      </c>
      <c r="C248" s="16" t="inlineStr">
        <is>
          <t>gestion.pe</t>
        </is>
      </c>
      <c r="D248" s="16" t="inlineStr">
        <is>
          <t>Ferreycorp</t>
        </is>
      </c>
      <c r="E248" s="17" t="inlineStr">
        <is>
          <t>BTG: Reemplazo de DU-003 impulsará firmas bancarias, constructoras y de equipamiento</t>
        </is>
      </c>
      <c r="F248" s="19" t="inlineStr">
        <is>
          <t>C_analisis_opinion</t>
        </is>
      </c>
      <c r="G248" s="19" t="inlineStr">
        <is>
          <t>positivo</t>
        </is>
      </c>
      <c r="H248" s="20" t="inlineStr">
        <is>
          <t>x</t>
        </is>
      </c>
      <c r="I248" s="19" t="inlineStr">
        <is>
          <t>Casa de bolsa proyecta impulso para firmas de equipamiento, rubro de Ferreycorp. Alternativa: Z_sector_macro.</t>
        </is>
      </c>
      <c r="J248" s="18" t="inlineStr">
        <is>
          <t>http://gestion.pe/economia/btg-reemplazo-du-003-impulsara-firmas-bancarias-constructoras-equipamiento-229158</t>
        </is>
      </c>
    </row>
    <row r="249" ht="28.05" customHeight="1">
      <c r="A249" s="15" t="n">
        <v>248</v>
      </c>
      <c r="B249" s="15" t="inlineStr">
        <is>
          <t>2023-01-12</t>
        </is>
      </c>
      <c r="C249" s="16" t="inlineStr">
        <is>
          <t>larepublica.pe</t>
        </is>
      </c>
      <c r="D249" s="16" t="inlineStr">
        <is>
          <t>InRetail Peru Corp</t>
        </is>
      </c>
      <c r="E249" s="17" t="inlineStr">
        <is>
          <t>Investigan a jefa de Policía de Tránsito por apropiación de televisores en saqueo</t>
        </is>
      </c>
      <c r="F249" s="19" t="inlineStr">
        <is>
          <t>Z_no_relevante</t>
        </is>
      </c>
      <c r="G249" s="19" t="n"/>
      <c r="H249" s="20" t="n"/>
      <c r="I249" s="19" t="n"/>
      <c r="J249" s="18" t="inlineStr">
        <is>
          <t>https://larepublica.pe/sociedad/2023/01/12/puno-investigan-a-jefa-de-policia-de-transito-por-apropiacion-de-televisores-en-saqueo-lrsd/</t>
        </is>
      </c>
    </row>
    <row r="250" ht="28.05" customHeight="1">
      <c r="A250" s="15" t="n">
        <v>249</v>
      </c>
      <c r="B250" s="15" t="inlineStr">
        <is>
          <t>2023-03-01</t>
        </is>
      </c>
      <c r="C250" s="16" t="inlineStr">
        <is>
          <t>gestion.pe</t>
        </is>
      </c>
      <c r="D250" s="16" t="inlineStr">
        <is>
          <t>Cementos Pacasmayo</t>
        </is>
      </c>
      <c r="E250" s="17" t="inlineStr">
        <is>
          <t>BVL cierra al alza tras favorables datos de la economía china</t>
        </is>
      </c>
      <c r="F250" s="19" t="inlineStr">
        <is>
          <t>Z_indice_bursatil</t>
        </is>
      </c>
      <c r="G250" s="19" t="n"/>
      <c r="H250" s="20" t="n"/>
      <c r="I250" s="19" t="n"/>
      <c r="J250" s="18" t="inlineStr">
        <is>
          <t>https://gestion.pe/economia/mercados/bvl-cierra-al-alza-tras-favorables-datos-de-la-economia-china-noticia/</t>
        </is>
      </c>
    </row>
    <row r="251" ht="28.05" customHeight="1">
      <c r="A251" s="15" t="n">
        <v>250</v>
      </c>
      <c r="B251" s="15" t="inlineStr">
        <is>
          <t>2020-08-03</t>
        </is>
      </c>
      <c r="C251" s="16" t="inlineStr">
        <is>
          <t>elcomercio.pe</t>
        </is>
      </c>
      <c r="D251" s="16" t="inlineStr">
        <is>
          <t>Alicorp</t>
        </is>
      </c>
      <c r="E251" s="17" t="inlineStr">
        <is>
          <t>Famosos: Raúl Beryón, ex "Risas y salsa": "Antes los peruanos podíamos burlar d</t>
        </is>
      </c>
      <c r="F251" s="19" t="inlineStr">
        <is>
          <t>Z_no_relevante</t>
        </is>
      </c>
      <c r="G251" s="19" t="n"/>
      <c r="H251" s="20" t="n"/>
      <c r="I251" s="19" t="n"/>
      <c r="J251" s="18" t="inlineStr">
        <is>
          <t>https://elcomercio.pe/tvmas/famosos/raul-beryon-ex-risas-y-salsa-antes-los-peruanos-podiamos-burlar-de-todo-ahora-cada-vez-hay-mas-restricciones-noticia/</t>
        </is>
      </c>
    </row>
    <row r="252" ht="28.05" customHeight="1">
      <c r="A252" s="15" t="n">
        <v>251</v>
      </c>
      <c r="B252" s="15" t="inlineStr">
        <is>
          <t>2018-01-29</t>
        </is>
      </c>
      <c r="C252" s="16" t="inlineStr">
        <is>
          <t>elcomercio.pe</t>
        </is>
      </c>
      <c r="D252" s="16" t="inlineStr">
        <is>
          <t>Banco de Credito del Peru (BCP)</t>
        </is>
      </c>
      <c r="E252" s="17" t="inlineStr">
        <is>
          <t>BCP reduce estimado de crecimiento a 3,5% para este año</t>
        </is>
      </c>
      <c r="F252" s="19" t="inlineStr">
        <is>
          <t>Z_mencion_incidental</t>
        </is>
      </c>
      <c r="G252" s="19" t="n"/>
      <c r="H252" s="20" t="inlineStr">
        <is>
          <t>x</t>
        </is>
      </c>
      <c r="I252" s="19" t="inlineStr">
        <is>
          <t>El BCP es el autor del estudio, no su objeto. C_analisis_opinion es siempre alguien opinando SOBRE la empresa. Se mantiene en Z por coherencia con 103, 140, 509 y 510. Discutida con el usuario.</t>
        </is>
      </c>
      <c r="J252" s="18" t="inlineStr">
        <is>
          <t>http://elcomercio.pe/economia/peru/bcp-reduce-estimado-crecimiento-3-5-ano-noticia-493034</t>
        </is>
      </c>
    </row>
    <row r="253" ht="28.05" customHeight="1">
      <c r="A253" s="15" t="n">
        <v>252</v>
      </c>
      <c r="B253" s="15" t="inlineStr">
        <is>
          <t>2018-03-22</t>
        </is>
      </c>
      <c r="C253" s="16" t="inlineStr">
        <is>
          <t>elcomercio.pe</t>
        </is>
      </c>
      <c r="D253" s="16" t="inlineStr">
        <is>
          <t>InRetail Peru Corp</t>
        </is>
      </c>
      <c r="E253" s="17" t="inlineStr">
        <is>
          <t>¿Cuánto cuesta el Álbum Panini del Mundial Rusia 2018 y sus figuritas?</t>
        </is>
      </c>
      <c r="F253" s="19" t="inlineStr">
        <is>
          <t>Z_no_relevante</t>
        </is>
      </c>
      <c r="G253" s="19" t="n"/>
      <c r="H253" s="20" t="n"/>
      <c r="I253" s="19" t="n"/>
      <c r="J253" s="18" t="inlineStr">
        <is>
          <t>http://elcomercio.pe/mundial/cuesta-album-panini-mundial-2018-figuritas-noticia-506364</t>
        </is>
      </c>
    </row>
    <row r="254" ht="28.05" customHeight="1">
      <c r="A254" s="15" t="n">
        <v>253</v>
      </c>
      <c r="B254" s="15" t="inlineStr">
        <is>
          <t>2018-05-09</t>
        </is>
      </c>
      <c r="C254" s="16" t="inlineStr">
        <is>
          <t>gestion.pe</t>
        </is>
      </c>
      <c r="D254" s="16" t="inlineStr">
        <is>
          <t>Saga Falabella</t>
        </is>
      </c>
      <c r="E254" s="17" t="inlineStr">
        <is>
          <t>Transformación digital y desafíos del sector retail frente a consumidores</t>
        </is>
      </c>
      <c r="F254" s="19" t="inlineStr">
        <is>
          <t>Z_sector_macro</t>
        </is>
      </c>
      <c r="G254" s="19" t="n"/>
      <c r="H254" s="20" t="n"/>
      <c r="I254" s="19" t="n"/>
      <c r="J254" s="18" t="n"/>
    </row>
    <row r="255" ht="28.05" customHeight="1">
      <c r="A255" s="15" t="n">
        <v>254</v>
      </c>
      <c r="B255" s="15" t="inlineStr">
        <is>
          <t>2021-06-10</t>
        </is>
      </c>
      <c r="C255" s="16" t="inlineStr">
        <is>
          <t>elcomercio.pe</t>
        </is>
      </c>
      <c r="D255" s="16" t="inlineStr">
        <is>
          <t>Aceros Arequipa</t>
        </is>
      </c>
      <c r="E255" s="17" t="inlineStr">
        <is>
          <t>Bolsa de Lima abre en terreno positivo contagiada por avances en Wall Street</t>
        </is>
      </c>
      <c r="F255" s="19" t="inlineStr">
        <is>
          <t>Z_indice_bursatil</t>
        </is>
      </c>
      <c r="G255" s="19" t="n"/>
      <c r="H255" s="20" t="n"/>
      <c r="I255" s="19" t="n"/>
      <c r="J255" s="18" t="inlineStr">
        <is>
          <t>https://elcomercio.pe/economia/mercados/bvl-bolsa-de-lima-abre-en-terreno-positivo-contagiada-por-avances-en-wall-street-nndc-noticia/</t>
        </is>
      </c>
    </row>
    <row r="256" ht="28.05" customHeight="1">
      <c r="A256" s="15" t="n">
        <v>255</v>
      </c>
      <c r="B256" s="15" t="inlineStr">
        <is>
          <t>2023-08-29</t>
        </is>
      </c>
      <c r="C256" s="16" t="inlineStr">
        <is>
          <t>gestion.pe</t>
        </is>
      </c>
      <c r="D256" s="16" t="inlineStr">
        <is>
          <t>Cementos Pacasmayo</t>
        </is>
      </c>
      <c r="E256" s="17" t="inlineStr">
        <is>
          <t>BVL cierra al alza mientras mercados están atentos a nuevos datos de la economía de EE.UU.</t>
        </is>
      </c>
      <c r="F256" s="19" t="inlineStr">
        <is>
          <t>Z_indice_bursatil</t>
        </is>
      </c>
      <c r="G256" s="19" t="n"/>
      <c r="H256" s="20" t="n"/>
      <c r="I256" s="19" t="n"/>
      <c r="J256" s="18" t="inlineStr">
        <is>
          <t>https://gestion.pe/economia/mercados/bvl-cierra-al-alza-mientras-mercados-estan-atentos-a-nuevos-datos-de-la-economia-de-eeuu-noticia/</t>
        </is>
      </c>
    </row>
    <row r="257" ht="28.05" customHeight="1">
      <c r="A257" s="15" t="n">
        <v>256</v>
      </c>
      <c r="B257" s="15" t="inlineStr">
        <is>
          <t>2021-09-06</t>
        </is>
      </c>
      <c r="C257" s="16" t="inlineStr">
        <is>
          <t>gestion.pe</t>
        </is>
      </c>
      <c r="D257" s="16" t="inlineStr">
        <is>
          <t>InRetail Peru Corp</t>
        </is>
      </c>
      <c r="E257" s="17" t="inlineStr">
        <is>
          <t>Quedan en stand by malls en San Juan de Lurigancho e Iquitos</t>
        </is>
      </c>
      <c r="F257" s="19" t="inlineStr">
        <is>
          <t>B_estrategia_inversion</t>
        </is>
      </c>
      <c r="G257" s="19" t="inlineStr">
        <is>
          <t>negativo</t>
        </is>
      </c>
      <c r="H257" s="20" t="inlineStr">
        <is>
          <t>x</t>
        </is>
      </c>
      <c r="I257" s="19" t="inlineStr">
        <is>
          <t>Proyectos de malls detenidos; el titular no precisa de quien son.</t>
        </is>
      </c>
      <c r="J257" s="18" t="inlineStr">
        <is>
          <t>https://gestion.pe/economia/empresas/quedan-en-stand-by-malls-en-san-juan-de-lurigancho-e-iquitos-noticia/</t>
        </is>
      </c>
    </row>
    <row r="258" ht="28.05" customHeight="1">
      <c r="A258" s="15" t="n">
        <v>257</v>
      </c>
      <c r="B258" s="15" t="inlineStr">
        <is>
          <t>2023-09-18</t>
        </is>
      </c>
      <c r="C258" s="16" t="inlineStr">
        <is>
          <t>larepublica.pe</t>
        </is>
      </c>
      <c r="D258" s="16" t="inlineStr">
        <is>
          <t>Banco de Credito del Peru (BCP)</t>
        </is>
      </c>
      <c r="E258" s="17" t="inlineStr">
        <is>
          <t>Precio del dólar cierra a la baja y cotiza en S/3,7100 este lunes 18 de septiembre</t>
        </is>
      </c>
      <c r="F258" s="19" t="inlineStr">
        <is>
          <t>Z_mencion_incidental</t>
        </is>
      </c>
      <c r="G258" s="19" t="n"/>
      <c r="H258" s="20" t="n"/>
      <c r="I258" s="19" t="inlineStr">
        <is>
          <t>Tipo de cambio.</t>
        </is>
      </c>
      <c r="J258" s="18" t="inlineStr">
        <is>
          <t>https://larepublica.pe/economia/2023/09/18/precio-del-dolar-cierra-a-la-baja-y-cotiza-en-s37100-este-lunes-18-de-septiembre-de-2023-reserva-federal-bcrp-1419102</t>
        </is>
      </c>
    </row>
    <row r="259" ht="28.05" customHeight="1">
      <c r="A259" s="15" t="n">
        <v>258</v>
      </c>
      <c r="B259" s="15" t="inlineStr">
        <is>
          <t>2020-05-03</t>
        </is>
      </c>
      <c r="C259" s="16" t="inlineStr">
        <is>
          <t>elcomercio.pe</t>
        </is>
      </c>
      <c r="D259" s="16" t="inlineStr">
        <is>
          <t>Luz del Sur</t>
        </is>
      </c>
      <c r="E259" s="17" t="inlineStr">
        <is>
          <t>¿Qué falta para que las empresas autorizadas a operar en la primera fase inicien sus labores?</t>
        </is>
      </c>
      <c r="F259" s="19" t="inlineStr">
        <is>
          <t>Z_no_relevante</t>
        </is>
      </c>
      <c r="G259" s="19" t="n"/>
      <c r="H259" s="20" t="n"/>
      <c r="I259" s="19" t="n"/>
      <c r="J259" s="18" t="inlineStr">
        <is>
          <t>https://elcomercio.pe/economia/peru/coronavirus-en-peru-que-falta-para-que-las-empresas-autorizadas-a-operar-en-la-primera-fase-inicien-sus-labores-mineria-servicios-turismo-hoteles-restaurantes-construccion-noticia/</t>
        </is>
      </c>
    </row>
    <row r="260" ht="28.05" customHeight="1">
      <c r="A260" s="15" t="n">
        <v>259</v>
      </c>
      <c r="B260" s="15" t="inlineStr">
        <is>
          <t>2025-11-11</t>
        </is>
      </c>
      <c r="C260" s="16" t="inlineStr">
        <is>
          <t>elcomercio.pe</t>
        </is>
      </c>
      <c r="D260" s="16" t="inlineStr">
        <is>
          <t>Minsur</t>
        </is>
      </c>
      <c r="E260" s="17" t="inlineStr">
        <is>
          <t>Minsur, Volcan y Buenaventura consolidan una sólida posición operativa y financiera durante el tercer trimestre de 2025</t>
        </is>
      </c>
      <c r="F260" s="19" t="inlineStr">
        <is>
          <t>A_resultados</t>
        </is>
      </c>
      <c r="G260" s="19" t="inlineStr">
        <is>
          <t>positivo</t>
        </is>
      </c>
      <c r="H260" s="20" t="n"/>
      <c r="I260" s="19" t="inlineStr">
        <is>
          <t>Posicion operativa y financiera solida en el tercer trimestre.</t>
        </is>
      </c>
      <c r="J260" s="18" t="inlineStr">
        <is>
          <t>https://elcomercio.pe/economia/peru/minsur-volcan-y-buenaventura-consolidan-una-solida-posicion-operativa-y-financiera-durante-el-tercer-trimestre-de-2025-l-ultimas-noticia/</t>
        </is>
      </c>
    </row>
    <row r="261" ht="28.05" customHeight="1">
      <c r="A261" s="15" t="n">
        <v>260</v>
      </c>
      <c r="B261" s="15" t="inlineStr">
        <is>
          <t>2019-01-27</t>
        </is>
      </c>
      <c r="C261" s="16" t="inlineStr">
        <is>
          <t>elcomercio.pe</t>
        </is>
      </c>
      <c r="D261" s="16" t="inlineStr">
        <is>
          <t>Luz del Sur</t>
        </is>
      </c>
      <c r="E261" s="17" t="inlineStr">
        <is>
          <t>Municipio de Miraflores prepara ordenanza para supervisar estado de edificios antiguos</t>
        </is>
      </c>
      <c r="F261" s="19" t="inlineStr">
        <is>
          <t>Z_no_relevante</t>
        </is>
      </c>
      <c r="G261" s="19" t="n"/>
      <c r="H261" s="20" t="n"/>
      <c r="I261" s="19" t="n"/>
      <c r="J261" s="18" t="inlineStr">
        <is>
          <t>http://elcomercio.pe/lima/sucesos/municipio-miraflores-prepara-ordenanza-supervisar-edificios-antiguos-noticia-601760</t>
        </is>
      </c>
    </row>
    <row r="262" ht="28.05" customHeight="1">
      <c r="A262" s="15" t="n">
        <v>261</v>
      </c>
      <c r="B262" s="15" t="inlineStr">
        <is>
          <t>2023-09-20</t>
        </is>
      </c>
      <c r="C262" s="16" t="inlineStr">
        <is>
          <t>larepublica.pe</t>
        </is>
      </c>
      <c r="D262" s="16" t="inlineStr">
        <is>
          <t>Alicorp</t>
        </is>
      </c>
      <c r="E262" s="17" t="inlineStr">
        <is>
          <t>Congreso: buscan que el Estado participe en el mercado mediante reforma constitucional</t>
        </is>
      </c>
      <c r="F262" s="19" t="inlineStr">
        <is>
          <t>Z_sector_macro</t>
        </is>
      </c>
      <c r="G262" s="19" t="n"/>
      <c r="H262" s="20" t="n"/>
      <c r="I262" s="19" t="inlineStr">
        <is>
          <t>Reforma constitucional sobre actividad empresarial del Estado.</t>
        </is>
      </c>
      <c r="J262" s="18" t="inlineStr">
        <is>
          <t>https://larepublica.pe/economia/2023/09/20/congreso-buscan-que-el-estado-participe-en-el-mercado-mediante-reforma-constitucional-821900</t>
        </is>
      </c>
    </row>
    <row r="263" ht="28.05" customHeight="1">
      <c r="A263" s="15" t="n">
        <v>262</v>
      </c>
      <c r="B263" s="15" t="inlineStr">
        <is>
          <t>2021-05-28</t>
        </is>
      </c>
      <c r="C263" s="16" t="inlineStr">
        <is>
          <t>gestion.pe</t>
        </is>
      </c>
      <c r="D263" s="16" t="inlineStr">
        <is>
          <t>Aceros Arequipa</t>
        </is>
      </c>
      <c r="E263" s="17" t="inlineStr">
        <is>
          <t>Bolsa de Valores de Lima cerró con ganancias tras nuevo sondeo que muestra la cercanía entre Fujimori y Castillo</t>
        </is>
      </c>
      <c r="F263" s="19" t="inlineStr">
        <is>
          <t>Z_indice_bursatil</t>
        </is>
      </c>
      <c r="G263" s="19" t="n"/>
      <c r="H263" s="20" t="n"/>
      <c r="I263" s="19" t="n"/>
      <c r="J263" s="18" t="inlineStr">
        <is>
          <t>https://gestion.pe/economia/bolsa-de-valores-de-lima-cerro-con-ganancias-tras-nuevo-sondeo-que-muestra-la-cercania-entre-fujimori-y-castillo-nndc-noticia/</t>
        </is>
      </c>
    </row>
    <row r="264" ht="28.05" customHeight="1">
      <c r="A264" s="15" t="n">
        <v>263</v>
      </c>
      <c r="B264" s="15" t="inlineStr">
        <is>
          <t>2017-11-14</t>
        </is>
      </c>
      <c r="C264" s="16" t="inlineStr">
        <is>
          <t>elcomercio.pe</t>
        </is>
      </c>
      <c r="D264" s="16" t="inlineStr">
        <is>
          <t>Cementos Pacasmayo</t>
        </is>
      </c>
      <c r="E264" s="17" t="inlineStr">
        <is>
          <t>Bolsa de Valores de Lima termina la jornada a la baja</t>
        </is>
      </c>
      <c r="F264" s="19" t="inlineStr">
        <is>
          <t>Z_indice_bursatil</t>
        </is>
      </c>
      <c r="G264" s="19" t="n"/>
      <c r="H264" s="20" t="n"/>
      <c r="I264" s="19" t="n"/>
      <c r="J264" s="18" t="inlineStr">
        <is>
          <t>http://elcomercio.pe/economia/mercados/bolsa-valores-lima-termina-jornada-baja-noticia-473933</t>
        </is>
      </c>
    </row>
    <row r="265" ht="28.05" customHeight="1">
      <c r="A265" s="15" t="n">
        <v>264</v>
      </c>
      <c r="B265" s="15" t="inlineStr">
        <is>
          <t>2025-01-25</t>
        </is>
      </c>
      <c r="C265" s="16" t="inlineStr">
        <is>
          <t>larepublica.pe</t>
        </is>
      </c>
      <c r="D265" s="16" t="inlineStr">
        <is>
          <t>Ferreycorp</t>
        </is>
      </c>
      <c r="E265" s="17" t="inlineStr">
        <is>
          <t>"Sueño con un Perú donde por lo menos el 5% invierta en acciones"</t>
        </is>
      </c>
      <c r="F265" s="19" t="inlineStr">
        <is>
          <t>Z_indice_bursatil</t>
        </is>
      </c>
      <c r="G265" s="19" t="n"/>
      <c r="H265" s="20" t="n"/>
      <c r="I265" s="19" t="inlineStr">
        <is>
          <t>Cultura de inversion en acciones.</t>
        </is>
      </c>
      <c r="J265" s="18" t="inlineStr">
        <is>
          <t>https://larepublica.pe/economia/2025/01/25/sueno-con-un-peru-donde-por-lo-menos-el-5-invierta-en-acciones-bolsa-de-valores-trii-hnews-1017864</t>
        </is>
      </c>
    </row>
    <row r="266" ht="28.05" customHeight="1">
      <c r="A266" s="15" t="n">
        <v>265</v>
      </c>
      <c r="B266" s="15" t="inlineStr">
        <is>
          <t>2023-11-24</t>
        </is>
      </c>
      <c r="C266" s="16" t="inlineStr">
        <is>
          <t>larepublica.pe</t>
        </is>
      </c>
      <c r="D266" s="16" t="inlineStr">
        <is>
          <t>Banco de Credito del Peru (BCP)</t>
        </is>
      </c>
      <c r="E266" s="17" t="inlineStr">
        <is>
          <t>Dólar cerró la semana a la baja: ¿en cuanto cotizó este viernes 24 de noviembre?</t>
        </is>
      </c>
      <c r="F266" s="19" t="inlineStr">
        <is>
          <t>Z_mencion_incidental</t>
        </is>
      </c>
      <c r="G266" s="19" t="n"/>
      <c r="H266" s="20" t="n"/>
      <c r="I266" s="19" t="inlineStr">
        <is>
          <t>Tipo de cambio.</t>
        </is>
      </c>
      <c r="J266" s="18" t="inlineStr">
        <is>
          <t>https://larepublica.pe/economia/2023/11/24/dolar-cerro-la-semana-a-la-baja-en-cuanto-cotizo-este-viernes-24-de-noviembre-1062720</t>
        </is>
      </c>
    </row>
    <row r="267" ht="28.05" customHeight="1">
      <c r="A267" s="15" t="n">
        <v>266</v>
      </c>
      <c r="B267" s="15" t="inlineStr">
        <is>
          <t>2025-03-31</t>
        </is>
      </c>
      <c r="C267" s="16" t="inlineStr">
        <is>
          <t>elcomercio.pe</t>
        </is>
      </c>
      <c r="D267" s="16" t="inlineStr">
        <is>
          <t>Minsur</t>
        </is>
      </c>
      <c r="E267" s="17" t="inlineStr">
        <is>
          <t>Rompiendo brechas, construyendo futuro</t>
        </is>
      </c>
      <c r="F267" s="19" t="inlineStr">
        <is>
          <t>Z_patrocinio_rse</t>
        </is>
      </c>
      <c r="G267" s="19" t="n"/>
      <c r="H267" s="20" t="inlineStr">
        <is>
          <t>x</t>
        </is>
      </c>
      <c r="I267" s="19" t="inlineStr">
        <is>
          <t>Titular opaco, probable nota institucional de sostenibilidad.</t>
        </is>
      </c>
      <c r="J267" s="18" t="inlineStr">
        <is>
          <t>https://elcomercio.pe/economia/opinion/rompiendo-brechas-construyendo-futuro-ivo-saona-aporta-breca-8m-dia-internacional-de-la-mujer-noticia/</t>
        </is>
      </c>
    </row>
    <row r="268" ht="28.05" customHeight="1">
      <c r="A268" s="15" t="n">
        <v>267</v>
      </c>
      <c r="B268" s="15" t="inlineStr">
        <is>
          <t>2022-01-06</t>
        </is>
      </c>
      <c r="C268" s="16" t="inlineStr">
        <is>
          <t>elcomercio.pe</t>
        </is>
      </c>
      <c r="D268" s="16" t="inlineStr">
        <is>
          <t>InRetail Peru Corp</t>
        </is>
      </c>
      <c r="E268" s="17" t="inlineStr">
        <is>
          <t>Cuatro ventajas de usar una billetera móvil en tiempos de pandemia</t>
        </is>
      </c>
      <c r="F268" s="19" t="inlineStr">
        <is>
          <t>Z_no_relevante</t>
        </is>
      </c>
      <c r="G268" s="19" t="n"/>
      <c r="H268" s="20" t="n"/>
      <c r="I268" s="19" t="n"/>
      <c r="J268" s="18" t="inlineStr">
        <is>
          <t>https://elcomercio.pe/economia/peru/cuatro-ventajas-de-usar-una-billetera-movil-en-tiempos-de-pandemia-bim-yape-plin-lukita-nndc-noticia/</t>
        </is>
      </c>
    </row>
    <row r="269" ht="28.05" customHeight="1">
      <c r="A269" s="15" t="n">
        <v>268</v>
      </c>
      <c r="B269" s="15" t="inlineStr">
        <is>
          <t>2017-11-16</t>
        </is>
      </c>
      <c r="C269" s="16" t="inlineStr">
        <is>
          <t>gestion.pe</t>
        </is>
      </c>
      <c r="D269" s="16" t="inlineStr">
        <is>
          <t>Banco de Credito del Peru (BCP)</t>
        </is>
      </c>
      <c r="E269" s="17" t="inlineStr">
        <is>
          <t>Panel G CEO Forecast: Las perspectivas sectoriales para el 2018</t>
        </is>
      </c>
      <c r="F269" s="19" t="inlineStr">
        <is>
          <t>Z_sector_macro</t>
        </is>
      </c>
      <c r="G269" s="19" t="n"/>
      <c r="H269" s="20" t="n"/>
      <c r="I269" s="19" t="n"/>
      <c r="J269" s="18" t="inlineStr">
        <is>
          <t>https://gestion.pe/panelg/video-panel-g-ceo-forecast-perspectivas-sectoriales-2018-2204993</t>
        </is>
      </c>
    </row>
    <row r="270" ht="28.05" customHeight="1">
      <c r="A270" s="15" t="n">
        <v>269</v>
      </c>
      <c r="B270" s="15" t="inlineStr">
        <is>
          <t>2023-01-21</t>
        </is>
      </c>
      <c r="C270" s="16" t="inlineStr">
        <is>
          <t>elcomercio.pe</t>
        </is>
      </c>
      <c r="D270" s="16" t="inlineStr">
        <is>
          <t>Banco de Credito del Peru (BCP)</t>
        </is>
      </c>
      <c r="E270" s="17" t="inlineStr">
        <is>
          <t>¿Se puede cancelar un pago en Yape si me equivoco en el monto o contacto?</t>
        </is>
      </c>
      <c r="F270" s="19" t="inlineStr">
        <is>
          <t>Z_marketing_promocion</t>
        </is>
      </c>
      <c r="G270" s="19" t="n"/>
      <c r="H270" s="20" t="n"/>
      <c r="I270" s="19" t="inlineStr">
        <is>
          <t>Instructivo de Yape (ver fila 156).</t>
        </is>
      </c>
      <c r="J270" s="18" t="inlineStr">
        <is>
          <t>https://elcomercio.pe/respuestas/se-puede-cancelar-un-pago-en-yape-si-me-equivoco-en-el-monto-o-contacto-via-bcp-tdex-revtli-noticia/</t>
        </is>
      </c>
    </row>
    <row r="271" ht="28.05" customHeight="1">
      <c r="A271" s="15" t="n">
        <v>270</v>
      </c>
      <c r="B271" s="15" t="inlineStr">
        <is>
          <t>2023-06-22</t>
        </is>
      </c>
      <c r="C271" s="16" t="inlineStr">
        <is>
          <t>gestion.pe</t>
        </is>
      </c>
      <c r="D271" s="16" t="inlineStr">
        <is>
          <t>Luz del Sur</t>
        </is>
      </c>
      <c r="E271" s="17" t="inlineStr">
        <is>
          <t>Municipalidad de Santa Anita clausuró establecimientos comerciales</t>
        </is>
      </c>
      <c r="F271" s="19" t="inlineStr">
        <is>
          <t>Z_no_relevante</t>
        </is>
      </c>
      <c r="G271" s="19" t="n"/>
      <c r="H271" s="20" t="n"/>
      <c r="I271" s="19" t="n"/>
      <c r="J271" s="18" t="inlineStr">
        <is>
          <t>https://gestion.pe/peru/municipalidad-de-santa-anita-clausuro-establecimientos-comerciales-noticia/</t>
        </is>
      </c>
    </row>
    <row r="272" ht="28.05" customHeight="1">
      <c r="A272" s="15" t="n">
        <v>271</v>
      </c>
      <c r="B272" s="15" t="inlineStr">
        <is>
          <t>2017-08-14</t>
        </is>
      </c>
      <c r="C272" s="16" t="inlineStr">
        <is>
          <t>gestion.pe</t>
        </is>
      </c>
      <c r="D272" s="16" t="inlineStr">
        <is>
          <t>Ferreycorp</t>
        </is>
      </c>
      <c r="E272" s="17" t="inlineStr">
        <is>
          <t>Exportaciones crecerían 15% este año y despachos de confecciones cerrarían en azul</t>
        </is>
      </c>
      <c r="F272" s="19" t="inlineStr">
        <is>
          <t>Z_sector_macro</t>
        </is>
      </c>
      <c r="G272" s="19" t="n"/>
      <c r="H272" s="20" t="n"/>
      <c r="I272" s="19" t="n"/>
      <c r="J272" s="18" t="inlineStr">
        <is>
          <t>http://gestion.pe/economia/exportaciones-crecerian-15-este-ano-y-despachos-confecciones-cerrarian-azul-2197706</t>
        </is>
      </c>
    </row>
    <row r="273" ht="28.05" customHeight="1">
      <c r="A273" s="15" t="n">
        <v>272</v>
      </c>
      <c r="B273" s="15" t="inlineStr">
        <is>
          <t>2023-08-03</t>
        </is>
      </c>
      <c r="C273" s="16" t="inlineStr">
        <is>
          <t>gestion.pe</t>
        </is>
      </c>
      <c r="D273" s="16" t="inlineStr">
        <is>
          <t>Ferreycorp</t>
        </is>
      </c>
      <c r="E273" s="17" t="inlineStr">
        <is>
          <t>BVL cierra al alza en medio de una aversión global sobre activos de riesgo</t>
        </is>
      </c>
      <c r="F273" s="19" t="inlineStr">
        <is>
          <t>Z_indice_bursatil</t>
        </is>
      </c>
      <c r="G273" s="19" t="n"/>
      <c r="H273" s="20" t="n"/>
      <c r="I273" s="19" t="n"/>
      <c r="J273" s="18" t="inlineStr">
        <is>
          <t>https://gestion.pe/economia/mercados/bvl-cierra-al-alza-en-medio-de-una-aversion-global-sobre-activos-de-riesgo-noticia/</t>
        </is>
      </c>
    </row>
    <row r="274" ht="28.05" customHeight="1">
      <c r="A274" s="15" t="n">
        <v>273</v>
      </c>
      <c r="B274" s="15" t="inlineStr">
        <is>
          <t>2017-10-04</t>
        </is>
      </c>
      <c r="C274" s="16" t="inlineStr">
        <is>
          <t>elcomercio.pe</t>
        </is>
      </c>
      <c r="D274" s="16" t="inlineStr">
        <is>
          <t>Saga Falabella</t>
        </is>
      </c>
      <c r="E274" s="17" t="inlineStr">
        <is>
          <t>Asus: Zenfone 4 y 4 Max estarán en el Perú este mes [VIDEO]</t>
        </is>
      </c>
      <c r="F274" s="19" t="inlineStr">
        <is>
          <t>Z_no_relevante</t>
        </is>
      </c>
      <c r="G274" s="19" t="n"/>
      <c r="H274" s="20" t="n"/>
      <c r="I274" s="19" t="n"/>
      <c r="J274" s="18" t="n"/>
    </row>
    <row r="275" ht="28.05" customHeight="1">
      <c r="A275" s="15" t="n">
        <v>274</v>
      </c>
      <c r="B275" s="15" t="inlineStr">
        <is>
          <t>2022-08-12</t>
        </is>
      </c>
      <c r="C275" s="16" t="inlineStr">
        <is>
          <t>larepublica.pe</t>
        </is>
      </c>
      <c r="D275" s="16" t="inlineStr">
        <is>
          <t>Minsur</t>
        </is>
      </c>
      <c r="E275" s="17" t="inlineStr">
        <is>
          <t>La mujer más millonaria del Perú: conoce qué puesto ocupa en el ranking mundial de multimillonarios</t>
        </is>
      </c>
      <c r="F275" s="19" t="inlineStr">
        <is>
          <t>Z_mencion_incidental</t>
        </is>
      </c>
      <c r="G275" s="19" t="n"/>
      <c r="H275" s="20" t="inlineStr">
        <is>
          <t>x</t>
        </is>
      </c>
      <c r="I275" s="19" t="inlineStr">
        <is>
          <t>Ranking de millonarios; alcanza al grupo controlador.</t>
        </is>
      </c>
      <c r="J275" s="18" t="inlineStr">
        <is>
          <t>https://larepublica.pe/datos-lr/respuestas/2022/08/12/la-mujer-mas-millonaria-del-peru-conoce-que-puesto-ocupa-en-el-ranking-mundial-de-multimillonarios-forbes-fortuna-evat/</t>
        </is>
      </c>
    </row>
    <row r="276" ht="28.05" customHeight="1">
      <c r="A276" s="15" t="n">
        <v>275</v>
      </c>
      <c r="B276" s="15" t="inlineStr">
        <is>
          <t>2024-01-08</t>
        </is>
      </c>
      <c r="C276" s="16" t="inlineStr">
        <is>
          <t>elcomercio.pe</t>
        </is>
      </c>
      <c r="D276" s="16" t="inlineStr">
        <is>
          <t>Banco de Credito del Peru (BCP)</t>
        </is>
      </c>
      <c r="E276" s="17" t="inlineStr">
        <is>
          <t>Tinka, resultados del domingo 7 de enero de 2024 | VIDEO</t>
        </is>
      </c>
      <c r="F276" s="19" t="inlineStr">
        <is>
          <t>Z_no_relevante</t>
        </is>
      </c>
      <c r="G276" s="19" t="n"/>
      <c r="H276" s="20" t="n"/>
      <c r="I276" s="19" t="n"/>
      <c r="J276" s="18" t="n"/>
    </row>
    <row r="277" ht="28.05" customHeight="1">
      <c r="A277" s="15" t="n">
        <v>276</v>
      </c>
      <c r="B277" s="15" t="inlineStr">
        <is>
          <t>2022-07-03</t>
        </is>
      </c>
      <c r="C277" s="16" t="inlineStr">
        <is>
          <t>larepublica.pe</t>
        </is>
      </c>
      <c r="D277" s="16" t="inlineStr">
        <is>
          <t>Banco de Credito del Peru (BCP)</t>
        </is>
      </c>
      <c r="E277" s="17" t="inlineStr">
        <is>
          <t>¿A cuánto está el dólar hoy? Precio de compra y venta para este 3 de julio en Perú</t>
        </is>
      </c>
      <c r="F277" s="19" t="inlineStr">
        <is>
          <t>Z_mencion_incidental</t>
        </is>
      </c>
      <c r="G277" s="19" t="n"/>
      <c r="H277" s="20" t="n"/>
      <c r="I277" s="19" t="inlineStr">
        <is>
          <t>Tipo de cambio.</t>
        </is>
      </c>
      <c r="J277" s="18" t="inlineStr">
        <is>
          <t>https://larepublica.pe/economia/precio-del-dolar/2022/07/03/como-esta-el-dolar-hoy-cuanto-esta-la-compra-y-venta-de-dolares-en-peru-atmp/</t>
        </is>
      </c>
    </row>
    <row r="278" ht="28.05" customHeight="1">
      <c r="A278" s="15" t="n">
        <v>277</v>
      </c>
      <c r="B278" s="15" t="inlineStr">
        <is>
          <t>2021-06-07</t>
        </is>
      </c>
      <c r="C278" s="16" t="inlineStr">
        <is>
          <t>larepublica.pe</t>
        </is>
      </c>
      <c r="D278" s="16" t="inlineStr">
        <is>
          <t>Cementos Pacasmayo</t>
        </is>
      </c>
      <c r="E278" s="17" t="inlineStr">
        <is>
          <t>CHINCHA, EJEMPLO PARA EL MUNDO</t>
        </is>
      </c>
      <c r="F278" s="19" t="inlineStr">
        <is>
          <t>Z_no_relevante</t>
        </is>
      </c>
      <c r="G278" s="19" t="n"/>
      <c r="H278" s="20" t="n"/>
      <c r="I278" s="19" t="n"/>
      <c r="J278" s="18" t="inlineStr">
        <is>
          <t>https://larepublica.pe/sociedad/2021/06/07/chincha-ejemplo-para-el-mundo/</t>
        </is>
      </c>
    </row>
    <row r="279" ht="28.05" customHeight="1">
      <c r="A279" s="15" t="n">
        <v>278</v>
      </c>
      <c r="B279" s="15" t="inlineStr">
        <is>
          <t>2017-11-09</t>
        </is>
      </c>
      <c r="C279" s="16" t="inlineStr">
        <is>
          <t>elcomercio.pe</t>
        </is>
      </c>
      <c r="D279" s="16" t="inlineStr">
        <is>
          <t>Banco de Credito del Peru (BCP)</t>
        </is>
      </c>
      <c r="E279" s="17" t="inlineStr">
        <is>
          <t>BCR recorta tasa para estimular crecimiento de la economía</t>
        </is>
      </c>
      <c r="F279" s="19" t="inlineStr">
        <is>
          <t>Z_sector_macro</t>
        </is>
      </c>
      <c r="G279" s="19" t="n"/>
      <c r="H279" s="20" t="n"/>
      <c r="I279" s="19" t="inlineStr">
        <is>
          <t>Politica monetaria del BCR.</t>
        </is>
      </c>
      <c r="J279" s="18" t="inlineStr">
        <is>
          <t>http://elcomercio.pe/economia/peru/bcr-recorta-tasa-estimular-crecimiento-economia-noticia-472728</t>
        </is>
      </c>
    </row>
    <row r="280" ht="28.05" customHeight="1">
      <c r="A280" s="15" t="n">
        <v>279</v>
      </c>
      <c r="B280" s="15" t="inlineStr">
        <is>
          <t>2013-03-11</t>
        </is>
      </c>
      <c r="C280" s="16" t="inlineStr">
        <is>
          <t>larepublica.pe</t>
        </is>
      </c>
      <c r="D280" s="16" t="inlineStr">
        <is>
          <t>Minsur</t>
        </is>
      </c>
      <c r="E280" s="17" t="inlineStr">
        <is>
          <t>Humala cuestiona consultas populares para Pucamarca</t>
        </is>
      </c>
      <c r="F280" s="19" t="inlineStr">
        <is>
          <t>A_crisis_evento_adverso</t>
        </is>
      </c>
      <c r="G280" s="19" t="inlineStr">
        <is>
          <t>neutral</t>
        </is>
      </c>
      <c r="H280" s="20" t="inlineStr">
        <is>
          <t>x</t>
        </is>
      </c>
      <c r="I280" s="19" t="inlineStr">
        <is>
          <t>Pucamarca es de Minsur y la consulta popular es conflicto social; el titular no deja ver a favor de quien juega.</t>
        </is>
      </c>
      <c r="J280" s="18" t="inlineStr">
        <is>
          <t>http://www.larepublica.pe/11-03-2013/humala-cuestiona-consultas-populares-para-pucamarca</t>
        </is>
      </c>
    </row>
    <row r="281" ht="28.05" customHeight="1">
      <c r="A281" s="15" t="n">
        <v>280</v>
      </c>
      <c r="B281" s="15" t="inlineStr">
        <is>
          <t>2019-07-17</t>
        </is>
      </c>
      <c r="C281" s="16" t="inlineStr">
        <is>
          <t>gestion.pe</t>
        </is>
      </c>
      <c r="D281" s="16" t="inlineStr">
        <is>
          <t>Alicorp</t>
        </is>
      </c>
      <c r="E281" s="17" t="inlineStr">
        <is>
          <t>Merco Talento 2019: Estas son las diez empresas que lideraron el ranking</t>
        </is>
      </c>
      <c r="F281" s="19" t="inlineStr">
        <is>
          <t>Z_mencion_incidental</t>
        </is>
      </c>
      <c r="G281" s="19" t="n"/>
      <c r="H281" s="20" t="n"/>
      <c r="I281" s="19" t="inlineStr">
        <is>
          <t>Ranking de talento.</t>
        </is>
      </c>
      <c r="J281" s="18" t="inlineStr">
        <is>
          <t>http://gestion.pe/economia/empresas/merco-talento-2019-son-diez-empresas-lideraron-ranking-273355</t>
        </is>
      </c>
    </row>
    <row r="282" ht="28.05" customHeight="1">
      <c r="A282" s="15" t="n">
        <v>281</v>
      </c>
      <c r="B282" s="15" t="inlineStr">
        <is>
          <t>2022-12-19</t>
        </is>
      </c>
      <c r="C282" s="16" t="inlineStr">
        <is>
          <t>gestion.pe</t>
        </is>
      </c>
      <c r="D282" s="16" t="inlineStr">
        <is>
          <t>Compania de Minas Buenaventura</t>
        </is>
      </c>
      <c r="E282" s="17" t="inlineStr">
        <is>
          <t>BVL cierra ligeramente al alza mientras la atención está puesta en los datos de inflación de EE.UU.</t>
        </is>
      </c>
      <c r="F282" s="19" t="inlineStr">
        <is>
          <t>Z_indice_bursatil</t>
        </is>
      </c>
      <c r="G282" s="19" t="n"/>
      <c r="H282" s="20" t="n"/>
      <c r="I282" s="19" t="n"/>
      <c r="J282" s="18" t="inlineStr">
        <is>
          <t>https://gestion.pe/economia/mercados/bvl-cierra-ligeramente-al-alza-mientras-la-atencion-esta-puesta-en-los-datos-de-inflacion-de-eeuu-noticia/</t>
        </is>
      </c>
    </row>
    <row r="283" ht="28.05" customHeight="1">
      <c r="A283" s="15" t="n">
        <v>282</v>
      </c>
      <c r="B283" s="15" t="inlineStr">
        <is>
          <t>2021-07-26</t>
        </is>
      </c>
      <c r="C283" s="16" t="inlineStr">
        <is>
          <t>gestion.pe</t>
        </is>
      </c>
      <c r="D283" s="16" t="inlineStr">
        <is>
          <t>Cementos Pacasmayo</t>
        </is>
      </c>
      <c r="E283" s="17" t="inlineStr">
        <is>
          <t>Pacasmayo destinó S/ 32.6 millones para reforzar sus operaciones: ¿a qué proyectos apuntó?</t>
        </is>
      </c>
      <c r="F283" s="19" t="inlineStr">
        <is>
          <t>B_estrategia_inversion</t>
        </is>
      </c>
      <c r="G283" s="19" t="inlineStr">
        <is>
          <t>positivo</t>
        </is>
      </c>
      <c r="H283" s="20" t="n"/>
      <c r="I283" s="19" t="inlineStr">
        <is>
          <t>Capex para reforzar operaciones.</t>
        </is>
      </c>
      <c r="J283" s="18" t="inlineStr">
        <is>
          <t>https://gestion.pe/economia/empresas/cemento-pacasmayo-pacasmayo-destino-s-326-millones-para-reforzar-sus-operaciones-a-que-proyectos-apunto-noticia/</t>
        </is>
      </c>
    </row>
    <row r="284" ht="28.05" customHeight="1">
      <c r="A284" s="15" t="n">
        <v>283</v>
      </c>
      <c r="B284" s="15" t="inlineStr">
        <is>
          <t>2022-05-31</t>
        </is>
      </c>
      <c r="C284" s="16" t="inlineStr">
        <is>
          <t>larepublica.pe</t>
        </is>
      </c>
      <c r="D284" s="16" t="inlineStr">
        <is>
          <t>Luz del Sur</t>
        </is>
      </c>
      <c r="E284" s="17" t="inlineStr">
        <is>
          <t>Surco: denuncian a inquilino que debe alrededor de US$ 11.400</t>
        </is>
      </c>
      <c r="F284" s="19" t="inlineStr">
        <is>
          <t>Z_no_relevante</t>
        </is>
      </c>
      <c r="G284" s="19" t="n"/>
      <c r="H284" s="20" t="n"/>
      <c r="I284" s="19" t="n"/>
      <c r="J284" s="18" t="inlineStr">
        <is>
          <t>https://larepublica.pe/sociedad/2022/05/31/surco-denuncian-a-inquilino-que-debe-alrededor-de-11400-de-renta/</t>
        </is>
      </c>
    </row>
    <row r="285" ht="28.05" customHeight="1">
      <c r="A285" s="15" t="n">
        <v>284</v>
      </c>
      <c r="B285" s="15" t="inlineStr">
        <is>
          <t>2021-10-30</t>
        </is>
      </c>
      <c r="C285" s="16" t="inlineStr">
        <is>
          <t>elcomercio.pe</t>
        </is>
      </c>
      <c r="D285" s="16" t="inlineStr">
        <is>
          <t>InRetail Peru Corp</t>
        </is>
      </c>
      <c r="E285" s="17" t="inlineStr">
        <is>
          <t>Tiendas del recuerdo: un vistazo a los centros comerciales peruanos que evocamos con nostalgia</t>
        </is>
      </c>
      <c r="F285" s="19" t="inlineStr">
        <is>
          <t>Z_mencion_incidental</t>
        </is>
      </c>
      <c r="G285" s="19" t="n"/>
      <c r="H285" s="20" t="n"/>
      <c r="I285" s="19" t="n"/>
      <c r="J285" s="18" t="inlineStr">
        <is>
          <t>https://elcomercio.pe/archivo-elcomercio/tiendas-del-recuerdo-un-vistazo-a-los-centros-comerciales-peruanos-que-evocamos-con-nostalgia-fotos-super-market-scala-gigante-monterrey-tia-super-epsa-nnsp-noticia/</t>
        </is>
      </c>
    </row>
    <row r="286" ht="28.05" customHeight="1">
      <c r="A286" s="15" t="n">
        <v>285</v>
      </c>
      <c r="B286" s="15" t="inlineStr">
        <is>
          <t>2023-01-20</t>
        </is>
      </c>
      <c r="C286" s="16" t="inlineStr">
        <is>
          <t>gestion.pe</t>
        </is>
      </c>
      <c r="D286" s="16" t="inlineStr">
        <is>
          <t>Banco de Credito del Peru (BCP)</t>
        </is>
      </c>
      <c r="E286" s="17" t="inlineStr">
        <is>
          <t>Ciberseguridad en empresas, procesos ágiles y menores costos</t>
        </is>
      </c>
      <c r="F286" s="19" t="inlineStr">
        <is>
          <t>Z_no_relevante</t>
        </is>
      </c>
      <c r="G286" s="19" t="n"/>
      <c r="H286" s="20" t="n"/>
      <c r="I286" s="19" t="n"/>
      <c r="J286" s="18" t="n"/>
    </row>
    <row r="287" ht="28.05" customHeight="1">
      <c r="A287" s="15" t="n">
        <v>286</v>
      </c>
      <c r="B287" s="15" t="inlineStr">
        <is>
          <t>2022-09-12</t>
        </is>
      </c>
      <c r="C287" s="16" t="inlineStr">
        <is>
          <t>gestion.pe</t>
        </is>
      </c>
      <c r="D287" s="16" t="inlineStr">
        <is>
          <t>Cementos Pacasmayo</t>
        </is>
      </c>
      <c r="E287" s="17" t="inlineStr">
        <is>
          <t>Bolsa de Valores de Lima cierra jornada con índices mixtos tras retroceso de sectores construcción y consumo</t>
        </is>
      </c>
      <c r="F287" s="19" t="inlineStr">
        <is>
          <t>Z_indice_bursatil</t>
        </is>
      </c>
      <c r="G287" s="19" t="n"/>
      <c r="H287" s="20" t="n"/>
      <c r="I287" s="19" t="n"/>
      <c r="J287" s="18" t="inlineStr">
        <is>
          <t>https://gestion.pe/economia/mercados/bolsa-de-valores-de-lima-cierra-jornada-con-indices-mixtos-tras-retroceso-de-sectores-construccion-y-consumo-rmmn-noticia/</t>
        </is>
      </c>
    </row>
    <row r="288" ht="28.05" customHeight="1">
      <c r="A288" s="15" t="n">
        <v>287</v>
      </c>
      <c r="B288" s="15" t="inlineStr">
        <is>
          <t>2021-08-14</t>
        </is>
      </c>
      <c r="C288" s="16" t="inlineStr">
        <is>
          <t>elcomercio.pe</t>
        </is>
      </c>
      <c r="D288" s="16" t="inlineStr">
        <is>
          <t>Alicorp</t>
        </is>
      </c>
      <c r="E288" s="17" t="inlineStr">
        <is>
          <t>Doña Florinda y la democracia, por Gonzalo Zegarra Mulanovich</t>
        </is>
      </c>
      <c r="F288" s="19" t="inlineStr">
        <is>
          <t>Z_no_relevante</t>
        </is>
      </c>
      <c r="G288" s="19" t="n"/>
      <c r="H288" s="20" t="n"/>
      <c r="I288" s="19" t="n"/>
      <c r="J288" s="18" t="inlineStr">
        <is>
          <t>https://elcomercio.pe/opinion/columnistas/pedro-castillo-oposicion-dona-florinda-y-la-democracia-por-gonzalo-zegarra-mulanovich-noticia/</t>
        </is>
      </c>
    </row>
    <row r="289" ht="28.05" customHeight="1">
      <c r="A289" s="15" t="n">
        <v>288</v>
      </c>
      <c r="B289" s="15" t="inlineStr">
        <is>
          <t>2021-12-09</t>
        </is>
      </c>
      <c r="C289" s="16" t="inlineStr">
        <is>
          <t>elcomercio.pe</t>
        </is>
      </c>
      <c r="D289" s="16" t="inlineStr">
        <is>
          <t>Alicorp</t>
        </is>
      </c>
      <c r="E289" s="17" t="inlineStr">
        <is>
          <t>Banquera que renunció por una startup ahora es multimillonaria</t>
        </is>
      </c>
      <c r="F289" s="19" t="inlineStr">
        <is>
          <t>Z_no_relevante</t>
        </is>
      </c>
      <c r="G289" s="19" t="n"/>
      <c r="H289" s="20" t="n"/>
      <c r="I289" s="19" t="n"/>
      <c r="J289" s="18" t="inlineStr">
        <is>
          <t>https://elcomercio.pe/economia/mundo/banquera-que-renuncio-por-una-startup-ahora-es-multimillonaria-noticia/</t>
        </is>
      </c>
    </row>
    <row r="290" ht="28.05" customHeight="1">
      <c r="A290" s="15" t="n">
        <v>289</v>
      </c>
      <c r="B290" s="15" t="inlineStr">
        <is>
          <t>2023-05-24</t>
        </is>
      </c>
      <c r="C290" s="16" t="inlineStr">
        <is>
          <t>elcomercio.pe</t>
        </is>
      </c>
      <c r="D290" s="16" t="inlineStr">
        <is>
          <t>Luz del Sur</t>
        </is>
      </c>
      <c r="E290" s="17" t="inlineStr">
        <is>
          <t>Problema resuelto: Hyundai y Kia tendrán que pagar US$200.00 millones a los propietarios de autos robados</t>
        </is>
      </c>
      <c r="F290" s="19" t="inlineStr">
        <is>
          <t>Z_no_relevante</t>
        </is>
      </c>
      <c r="G290" s="19" t="n"/>
      <c r="H290" s="20" t="n"/>
      <c r="I290" s="19" t="n"/>
      <c r="J290" s="18" t="inlineStr">
        <is>
          <t>https://elcomercio.pe/ruedas-tuercas/automotriz/problema-resuelto-hyundai-y-kia-tendran-que-pagar-us20000-millones-a-los-propietarios-de-autos-robados-peru-mexico-espana-estados-unidos-noticia/</t>
        </is>
      </c>
    </row>
    <row r="291" ht="28.05" customHeight="1">
      <c r="A291" s="15" t="n">
        <v>290</v>
      </c>
      <c r="B291" s="15" t="inlineStr">
        <is>
          <t>2018-04-06</t>
        </is>
      </c>
      <c r="C291" s="16" t="inlineStr">
        <is>
          <t>elcomercio.pe</t>
        </is>
      </c>
      <c r="D291" s="16" t="inlineStr">
        <is>
          <t>Cementos Pacasmayo</t>
        </is>
      </c>
      <c r="E291" s="17" t="inlineStr">
        <is>
          <t>Así operaban Los Capos de la Construcción en Piura: habrían 6 policías implicados</t>
        </is>
      </c>
      <c r="F291" s="19" t="inlineStr">
        <is>
          <t>Z_no_relevante</t>
        </is>
      </c>
      <c r="G291" s="19" t="n"/>
      <c r="H291" s="20" t="n"/>
      <c r="I291" s="19" t="n"/>
      <c r="J291" s="18" t="inlineStr">
        <is>
          <t>http://elcomercio.pe/peru/piura/operaban-capos-construccion-piura-habrian-6-policias-implicados-noticia-510051</t>
        </is>
      </c>
    </row>
    <row r="292" ht="28.05" customHeight="1">
      <c r="A292" s="15" t="n">
        <v>291</v>
      </c>
      <c r="B292" s="15" t="inlineStr">
        <is>
          <t>2021-11-05</t>
        </is>
      </c>
      <c r="C292" s="16" t="inlineStr">
        <is>
          <t>gestion.pe</t>
        </is>
      </c>
      <c r="D292" s="16" t="inlineStr">
        <is>
          <t>Aceros Arequipa</t>
        </is>
      </c>
      <c r="E292" s="17" t="inlineStr">
        <is>
          <t>Bolsa de Valores de Lima | BVL cerró con ganancias por el avance de casi todos sus sectores</t>
        </is>
      </c>
      <c r="F292" s="19" t="inlineStr">
        <is>
          <t>Z_indice_bursatil</t>
        </is>
      </c>
      <c r="G292" s="19" t="n"/>
      <c r="H292" s="20" t="n"/>
      <c r="I292" s="19" t="n"/>
      <c r="J292" s="18" t="n"/>
    </row>
    <row r="293" ht="28.05" customHeight="1">
      <c r="A293" s="15" t="n">
        <v>292</v>
      </c>
      <c r="B293" s="15" t="inlineStr">
        <is>
          <t>2025-03-02</t>
        </is>
      </c>
      <c r="C293" s="16" t="inlineStr">
        <is>
          <t>larepublica.pe</t>
        </is>
      </c>
      <c r="D293" s="16" t="inlineStr">
        <is>
          <t>Banco de Credito del Peru (BCP)</t>
        </is>
      </c>
      <c r="E293" s="17" t="inlineStr">
        <is>
          <t>Pago de CTS en 2025: conoce cómo calcular tu pago y los cambios que el Gobierno estableció en este beneficio laboral</t>
        </is>
      </c>
      <c r="F293" s="19" t="inlineStr">
        <is>
          <t>Z_no_relevante</t>
        </is>
      </c>
      <c r="G293" s="19" t="n"/>
      <c r="H293" s="20" t="n"/>
      <c r="I293" s="19" t="n"/>
      <c r="J293" s="18" t="inlineStr">
        <is>
          <t>https://larepublica.pe/economia/2025/03/02/pago-de-cts-en-2025-conoce-como-calcular-tu-pago-y-los-cambios-que-el-gobierno-establecio-en-este-beneficio-laboral-atmp-54520</t>
        </is>
      </c>
    </row>
    <row r="294" ht="28.05" customHeight="1">
      <c r="A294" s="15" t="n">
        <v>293</v>
      </c>
      <c r="B294" s="15" t="inlineStr">
        <is>
          <t>2025-09-20</t>
        </is>
      </c>
      <c r="C294" s="16" t="inlineStr">
        <is>
          <t>gestion.pe</t>
        </is>
      </c>
      <c r="D294" s="16" t="inlineStr">
        <is>
          <t>Saga Falabella</t>
        </is>
      </c>
      <c r="E294" s="17" t="inlineStr">
        <is>
          <t>Comprar en outlets: ¿Adiós a los populares “no hay cambios ni devoluciones”?</t>
        </is>
      </c>
      <c r="F294" s="19" t="inlineStr">
        <is>
          <t>Z_sector_macro</t>
        </is>
      </c>
      <c r="G294" s="19" t="n"/>
      <c r="H294" s="20" t="inlineStr">
        <is>
          <t>x</t>
        </is>
      </c>
      <c r="I294" s="19" t="inlineStr">
        <is>
          <t>Reglas de cambios y devoluciones para todo el retail.</t>
        </is>
      </c>
      <c r="J294" s="18" t="n"/>
    </row>
    <row r="295" ht="28.05" customHeight="1">
      <c r="A295" s="15" t="n">
        <v>294</v>
      </c>
      <c r="B295" s="15" t="inlineStr">
        <is>
          <t>2017-04-07</t>
        </is>
      </c>
      <c r="C295" s="16" t="inlineStr">
        <is>
          <t>gestion.pe</t>
        </is>
      </c>
      <c r="D295" s="16" t="inlineStr">
        <is>
          <t>InRetail Peru Corp</t>
        </is>
      </c>
      <c r="E295" s="17" t="inlineStr">
        <is>
          <t>Tiendas de conveniencia apoyan crecimiento del canal moderno</t>
        </is>
      </c>
      <c r="F295" s="19" t="inlineStr">
        <is>
          <t>Z_sector_macro</t>
        </is>
      </c>
      <c r="G295" s="19" t="n"/>
      <c r="H295" s="20" t="n"/>
      <c r="I295" s="19" t="inlineStr">
        <is>
          <t>Crecimiento del canal moderno.</t>
        </is>
      </c>
      <c r="J295" s="18" t="inlineStr">
        <is>
          <t>http://gestion.pe/empresas/tiendas-conveniencia-apoyan-crecimiento-canal-moderno-2186903</t>
        </is>
      </c>
    </row>
    <row r="296" ht="28.05" customHeight="1">
      <c r="A296" s="15" t="n">
        <v>295</v>
      </c>
      <c r="B296" s="15" t="inlineStr">
        <is>
          <t>2016-06-02</t>
        </is>
      </c>
      <c r="C296" s="16" t="inlineStr">
        <is>
          <t>elcomercio.pe</t>
        </is>
      </c>
      <c r="D296" s="16" t="inlineStr">
        <is>
          <t>Alicorp</t>
        </is>
      </c>
      <c r="E296" s="17" t="inlineStr">
        <is>
          <t>"El reto del buen gobierno corporativo en el Perú" [OPINIÓN]</t>
        </is>
      </c>
      <c r="F296" s="19" t="inlineStr">
        <is>
          <t>Z_no_relevante</t>
        </is>
      </c>
      <c r="G296" s="19" t="n"/>
      <c r="H296" s="20" t="n"/>
      <c r="I296" s="19" t="n"/>
      <c r="J296" s="18" t="inlineStr">
        <is>
          <t>http://elcomercio.pe/economia/opinion/reto-buen-gobierno-corporativo-peru-opinion-noticia-1906131</t>
        </is>
      </c>
    </row>
    <row r="297" ht="28.05" customHeight="1">
      <c r="A297" s="15" t="n">
        <v>296</v>
      </c>
      <c r="B297" s="15" t="inlineStr">
        <is>
          <t>2023-03-23</t>
        </is>
      </c>
      <c r="C297" s="16" t="inlineStr">
        <is>
          <t>gestion.pe</t>
        </is>
      </c>
      <c r="D297" s="16" t="inlineStr">
        <is>
          <t>Alicorp</t>
        </is>
      </c>
      <c r="E297" s="17" t="inlineStr">
        <is>
          <t>BVL cierra con perdidas en medio de alta volatibilidad en los mercados internacionales</t>
        </is>
      </c>
      <c r="F297" s="19" t="inlineStr">
        <is>
          <t>Z_indice_bursatil</t>
        </is>
      </c>
      <c r="G297" s="19" t="n"/>
      <c r="H297" s="20" t="n"/>
      <c r="I297" s="19" t="n"/>
      <c r="J297" s="18" t="inlineStr">
        <is>
          <t>https://gestion.pe/economia/mercados/bvl-cierra-con-perdidas-en-medio-de-alta-volatibilidad-en-los-mercados-internacionales-noticia/</t>
        </is>
      </c>
    </row>
    <row r="298" ht="28.05" customHeight="1">
      <c r="A298" s="15" t="n">
        <v>297</v>
      </c>
      <c r="B298" s="15" t="inlineStr">
        <is>
          <t>2020-05-04</t>
        </is>
      </c>
      <c r="C298" s="16" t="inlineStr">
        <is>
          <t>elcomercio.pe</t>
        </is>
      </c>
      <c r="D298" s="16" t="inlineStr">
        <is>
          <t>Luz del Sur</t>
        </is>
      </c>
      <c r="E298" s="17" t="inlineStr">
        <is>
          <t>Retiro del 25% de las AFP: ¿Cómo impacta en los fondos de pensiones de los afiliados?</t>
        </is>
      </c>
      <c r="F298" s="19" t="inlineStr">
        <is>
          <t>Z_sector_macro</t>
        </is>
      </c>
      <c r="G298" s="19" t="n"/>
      <c r="H298" s="20" t="n"/>
      <c r="I298" s="19" t="n"/>
      <c r="J298" s="18" t="inlineStr">
        <is>
          <t>https://elcomercio.pe/economia/peru/coronavirus-en-peru-retiro-del-25-de-las-afp-como-impacta-en-los-fondos-de-pensiones-de-los-afiliados-spp-congreso-noticia/</t>
        </is>
      </c>
    </row>
    <row r="299" ht="28.05" customHeight="1">
      <c r="A299" s="15" t="n">
        <v>298</v>
      </c>
      <c r="B299" s="15" t="inlineStr">
        <is>
          <t>2025-05-15</t>
        </is>
      </c>
      <c r="C299" s="16" t="inlineStr">
        <is>
          <t>larepublica.pe</t>
        </is>
      </c>
      <c r="D299" s="16" t="inlineStr">
        <is>
          <t>Banco de Credito del Peru (BCP)</t>
        </is>
      </c>
      <c r="E299" s="17" t="inlineStr">
        <is>
          <t>Economía peruana crece 3,9% en el primer trimestre, impulsada por servicios, manufactura y minería: ¿Qué sector fue el único en rojo?</t>
        </is>
      </c>
      <c r="F299" s="19" t="inlineStr">
        <is>
          <t>Z_sector_macro</t>
        </is>
      </c>
      <c r="G299" s="19" t="n"/>
      <c r="H299" s="20" t="n"/>
      <c r="I299" s="19" t="inlineStr">
        <is>
          <t>PBI trimestral.</t>
        </is>
      </c>
      <c r="J299" s="18" t="inlineStr">
        <is>
          <t>https://larepublica.pe/economia/2025/05/15/economia-peruana-crece-39-en-el-primer-trimestre-impulsada-por-servicios-manufactura-y-mineria-que-sector-fue-el-unico-en-rojo-hnews-922815</t>
        </is>
      </c>
    </row>
    <row r="300" ht="28.05" customHeight="1">
      <c r="A300" s="15" t="n">
        <v>299</v>
      </c>
      <c r="B300" s="15" t="inlineStr">
        <is>
          <t>2023-01-05</t>
        </is>
      </c>
      <c r="C300" s="16" t="inlineStr">
        <is>
          <t>gestion.pe</t>
        </is>
      </c>
      <c r="D300" s="16" t="inlineStr">
        <is>
          <t>Cementos Pacasmayo</t>
        </is>
      </c>
      <c r="E300" s="17" t="inlineStr">
        <is>
          <t>BVL cierra al alza gracias a datos positivos del empleo en Estados Unidos</t>
        </is>
      </c>
      <c r="F300" s="19" t="inlineStr">
        <is>
          <t>Z_indice_bursatil</t>
        </is>
      </c>
      <c r="G300" s="19" t="n"/>
      <c r="H300" s="20" t="n"/>
      <c r="I300" s="19" t="n"/>
      <c r="J300" s="18" t="inlineStr">
        <is>
          <t>https://gestion.pe/economia/mercados/bvl-cierra-al-alza-gracias-a-datos-positivos-del-empleo-en-estados-unidos-noticia/</t>
        </is>
      </c>
    </row>
    <row r="301" ht="28.05" customHeight="1">
      <c r="A301" s="15" t="n">
        <v>300</v>
      </c>
      <c r="B301" s="15" t="inlineStr">
        <is>
          <t>2014-07-24</t>
        </is>
      </c>
      <c r="C301" s="16" t="inlineStr">
        <is>
          <t>larepublica.pe</t>
        </is>
      </c>
      <c r="D301" s="16" t="inlineStr">
        <is>
          <t>Banco de Credito del Peru (BCP)</t>
        </is>
      </c>
      <c r="E301" s="17" t="inlineStr">
        <is>
          <t>BCP, Prima y Pacífico premiaron a ganadores de Concurso Ideas Voluntarias 2014</t>
        </is>
      </c>
      <c r="F301" s="19" t="inlineStr">
        <is>
          <t>Z_patrocinio_rse</t>
        </is>
      </c>
      <c r="G301" s="19" t="n"/>
      <c r="H301" s="20" t="n"/>
      <c r="I301" s="19" t="inlineStr">
        <is>
          <t>Concurso de voluntariado.</t>
        </is>
      </c>
      <c r="J301" s="18" t="inlineStr">
        <is>
          <t>http://www.larepublica.pe/24-07-2014/bcp-prima-y-pacifico-premiaron-a-ganadores-de-concurso-ideas-voluntarias-2014</t>
        </is>
      </c>
    </row>
    <row r="302" ht="28.05" customHeight="1">
      <c r="A302" s="15" t="n">
        <v>301</v>
      </c>
      <c r="B302" s="15" t="inlineStr">
        <is>
          <t>2020-06-24</t>
        </is>
      </c>
      <c r="C302" s="16" t="inlineStr">
        <is>
          <t>elcomercio.pe</t>
        </is>
      </c>
      <c r="D302" s="16" t="inlineStr">
        <is>
          <t>Alicorp</t>
        </is>
      </c>
      <c r="E302" s="17" t="inlineStr">
        <is>
          <t>Ministerio de Energía y Minas: Sector minero solo ha activado el 66,7% de empleos</t>
        </is>
      </c>
      <c r="F302" s="19" t="inlineStr">
        <is>
          <t>Z_sector_macro</t>
        </is>
      </c>
      <c r="G302" s="19" t="n"/>
      <c r="H302" s="20" t="n"/>
      <c r="I302" s="19" t="inlineStr">
        <is>
          <t>Empleo del sector minero; la fila es Alicorp.</t>
        </is>
      </c>
      <c r="J302" s="18" t="inlineStr">
        <is>
          <t>https://elcomercio.pe/economia/peru/ministerio-de-energia-y-minas-sector-minero-solo-ha-activado-el-667-de-empleos-minem-noticia/</t>
        </is>
      </c>
    </row>
    <row r="303" ht="28.05" customHeight="1">
      <c r="A303" s="15" t="n">
        <v>302</v>
      </c>
      <c r="B303" s="15" t="inlineStr">
        <is>
          <t>2023-02-06</t>
        </is>
      </c>
      <c r="C303" s="16" t="inlineStr">
        <is>
          <t>larepublica.pe</t>
        </is>
      </c>
      <c r="D303" s="16" t="inlineStr">
        <is>
          <t>Banco de Credito del Peru (BCP)</t>
        </is>
      </c>
      <c r="E303" s="17" t="inlineStr">
        <is>
          <t>Precio del dólar cierra al alza y cotiza en S/ 3,8470 este lunes 6 de febrero</t>
        </is>
      </c>
      <c r="F303" s="19" t="inlineStr">
        <is>
          <t>Z_mencion_incidental</t>
        </is>
      </c>
      <c r="G303" s="19" t="n"/>
      <c r="H303" s="20" t="n"/>
      <c r="I303" s="19" t="inlineStr">
        <is>
          <t>Tipo de cambio.</t>
        </is>
      </c>
      <c r="J303" s="18" t="inlineStr">
        <is>
          <t>https://larepublica.pe/economia/2023/02/06/tipo-de-cambio-precio-del-dolar-cierra-al-alza-cotiza-en-s-38470-hoy-lunes-6-de-febrero-del-2023-151704</t>
        </is>
      </c>
    </row>
    <row r="304" ht="28.05" customHeight="1">
      <c r="A304" s="15" t="n">
        <v>303</v>
      </c>
      <c r="B304" s="15" t="inlineStr">
        <is>
          <t>2017-02-22</t>
        </is>
      </c>
      <c r="C304" s="16" t="inlineStr">
        <is>
          <t>gestion.pe</t>
        </is>
      </c>
      <c r="D304" s="16" t="inlineStr">
        <is>
          <t>Minsur</t>
        </is>
      </c>
      <c r="E304" s="17" t="inlineStr">
        <is>
          <t>Senace analiza 10 EIA que representan una inversión de US$ 2,000 millones</t>
        </is>
      </c>
      <c r="F304" s="19" t="inlineStr">
        <is>
          <t>Z_sector_macro</t>
        </is>
      </c>
      <c r="G304" s="19" t="n"/>
      <c r="H304" s="20" t="n"/>
      <c r="I304" s="19" t="inlineStr">
        <is>
          <t>Cartera de EIA en evaluacion.</t>
        </is>
      </c>
      <c r="J304" s="18" t="inlineStr">
        <is>
          <t>http://gestion.pe/economia/senace-analiza-10-eia-que-representan-inversion-us-2000-millones-2182806</t>
        </is>
      </c>
    </row>
    <row r="305" ht="28.05" customHeight="1">
      <c r="A305" s="15" t="n">
        <v>304</v>
      </c>
      <c r="B305" s="15" t="inlineStr">
        <is>
          <t>2023-02-27</t>
        </is>
      </c>
      <c r="C305" s="16" t="inlineStr">
        <is>
          <t>gestion.pe</t>
        </is>
      </c>
      <c r="D305" s="16" t="inlineStr">
        <is>
          <t>Banco de Credito del Peru (BCP)</t>
        </is>
      </c>
      <c r="E305" s="17" t="inlineStr">
        <is>
          <t>Alberto Arispe: “acciones mineras no tendrán un gran año”</t>
        </is>
      </c>
      <c r="F305" s="19" t="inlineStr">
        <is>
          <t>Z_indice_bursatil</t>
        </is>
      </c>
      <c r="G305" s="19" t="n"/>
      <c r="H305" s="20" t="n"/>
      <c r="I305" s="19" t="inlineStr">
        <is>
          <t>Opinion sobre acciones mineras en bloque.</t>
        </is>
      </c>
      <c r="J305" s="18" t="inlineStr">
        <is>
          <t>https://gestion.pe/economia/mercados/alberto-arispe-acciones-mineras-no-tendran-un-gran-ano-noticia/</t>
        </is>
      </c>
    </row>
    <row r="306" ht="28.05" customHeight="1">
      <c r="A306" s="15" t="n">
        <v>305</v>
      </c>
      <c r="B306" s="15" t="inlineStr">
        <is>
          <t>2020-12-24</t>
        </is>
      </c>
      <c r="C306" s="16" t="inlineStr">
        <is>
          <t>larepublica.pe</t>
        </is>
      </c>
      <c r="D306" s="16" t="inlineStr">
        <is>
          <t>Banco de Credito del Peru (BCP)</t>
        </is>
      </c>
      <c r="E306" s="17" t="inlineStr">
        <is>
          <t>Arequipa: denuncian ola de asaltos en las vísperas de Navidad</t>
        </is>
      </c>
      <c r="F306" s="19" t="inlineStr">
        <is>
          <t>Z_no_relevante</t>
        </is>
      </c>
      <c r="G306" s="19" t="n"/>
      <c r="H306" s="20" t="n"/>
      <c r="I306" s="19" t="n"/>
      <c r="J306" s="18" t="inlineStr">
        <is>
          <t>https://larepublica.pe/sociedad/2020/12/24/arequipa-denuncian-ola-de-asaltos-en-las-visperas-de-navidad-lrsd/</t>
        </is>
      </c>
    </row>
    <row r="307" ht="28.05" customHeight="1">
      <c r="A307" s="15" t="n">
        <v>306</v>
      </c>
      <c r="B307" s="15" t="inlineStr">
        <is>
          <t>2025-06-23</t>
        </is>
      </c>
      <c r="C307" s="16" t="inlineStr">
        <is>
          <t>gestion.pe</t>
        </is>
      </c>
      <c r="D307" s="16" t="inlineStr">
        <is>
          <t>Luz del Sur</t>
        </is>
      </c>
      <c r="E307" s="17" t="inlineStr">
        <is>
          <t>OPP Film solicita luz verde para nueva central térmica en planta de Lurín</t>
        </is>
      </c>
      <c r="F307" s="19" t="inlineStr">
        <is>
          <t>Z_sector_macro</t>
        </is>
      </c>
      <c r="G307" s="19" t="n"/>
      <c r="H307" s="20" t="inlineStr">
        <is>
          <t>x</t>
        </is>
      </c>
      <c r="I307" s="19" t="inlineStr">
        <is>
          <t>Nueva central termica de un tercero en el sistema.</t>
        </is>
      </c>
      <c r="J307" s="18" t="inlineStr">
        <is>
          <t>https://gestion.pe/economia/empresas/opp-film-solicita-luz-verde-para-nueva-central-termica-en-su-planta-de-lurin-noticia/</t>
        </is>
      </c>
    </row>
    <row r="308" ht="28.05" customHeight="1">
      <c r="A308" s="15" t="n">
        <v>307</v>
      </c>
      <c r="B308" s="15" t="inlineStr">
        <is>
          <t>2024-04-03</t>
        </is>
      </c>
      <c r="C308" s="16" t="inlineStr">
        <is>
          <t>larepublica.pe</t>
        </is>
      </c>
      <c r="D308" s="16" t="inlineStr">
        <is>
          <t>Banco de Credito del Peru (BCP)</t>
        </is>
      </c>
      <c r="E308" s="17" t="inlineStr">
        <is>
          <t>Tipo de cambio cerró hoy, miércoles 3 de abril, en S/3,6890</t>
        </is>
      </c>
      <c r="F308" s="19" t="inlineStr">
        <is>
          <t>Z_mencion_incidental</t>
        </is>
      </c>
      <c r="G308" s="19" t="n"/>
      <c r="H308" s="20" t="n"/>
      <c r="I308" s="19" t="inlineStr">
        <is>
          <t>Tipo de cambio.</t>
        </is>
      </c>
      <c r="J308" s="18" t="inlineStr">
        <is>
          <t>https://larepublica.pe/economia/2024/04/03/tipo-de-cambio-cerro-hoy-miercoles-3-de-abril-en-s36890-126678</t>
        </is>
      </c>
    </row>
    <row r="309" ht="28.05" customHeight="1">
      <c r="A309" s="15" t="n">
        <v>308</v>
      </c>
      <c r="B309" s="15" t="inlineStr">
        <is>
          <t>2023-04-17</t>
        </is>
      </c>
      <c r="C309" s="16" t="inlineStr">
        <is>
          <t>larepublica.pe</t>
        </is>
      </c>
      <c r="D309" s="16" t="inlineStr">
        <is>
          <t>InRetail Peru Corp</t>
        </is>
      </c>
      <c r="E309" s="17" t="inlineStr">
        <is>
          <t>Cyber Wow 2023: ¿qué marcas participan y cuáles son las ofertas que habrán hasta el 21 de abril?</t>
        </is>
      </c>
      <c r="F309" s="19" t="inlineStr">
        <is>
          <t>Z_marketing_promocion</t>
        </is>
      </c>
      <c r="G309" s="19" t="n"/>
      <c r="H309" s="20" t="n"/>
      <c r="I309" s="19" t="inlineStr">
        <is>
          <t>Campana comercial Cyber Wow.</t>
        </is>
      </c>
      <c r="J309" s="18" t="inlineStr">
        <is>
          <t>https://larepublica.pe/economia/2023/04/17/cyber-wow-2023-como-comprar-que-marcas-participan-y-cuales-son-las-ofertas-que-habra-hasta-el-21-de-abril-compras-por-internet-saga-ripley-plaza-vea-samsung-atmp-744923</t>
        </is>
      </c>
    </row>
    <row r="310" ht="28.05" customHeight="1">
      <c r="A310" s="15" t="n">
        <v>309</v>
      </c>
      <c r="B310" s="15" t="inlineStr">
        <is>
          <t>2017-12-15</t>
        </is>
      </c>
      <c r="C310" s="16" t="inlineStr">
        <is>
          <t>elcomercio.pe</t>
        </is>
      </c>
      <c r="D310" s="16" t="inlineStr">
        <is>
          <t>Ferreycorp</t>
        </is>
      </c>
      <c r="E310" s="17" t="inlineStr">
        <is>
          <t>¿Cuál es el peor temor de los inversionistas de la BVL?</t>
        </is>
      </c>
      <c r="F310" s="19" t="inlineStr">
        <is>
          <t>Z_indice_bursatil</t>
        </is>
      </c>
      <c r="G310" s="19" t="n"/>
      <c r="H310" s="20" t="n"/>
      <c r="I310" s="19" t="n"/>
      <c r="J310" s="18" t="inlineStr">
        <is>
          <t>http://elcomercio.pe/economia/mercados/peor-temor-inversionistas-bvl-noticia-481735</t>
        </is>
      </c>
    </row>
    <row r="311" ht="28.05" customHeight="1">
      <c r="A311" s="15" t="n">
        <v>310</v>
      </c>
      <c r="B311" s="15" t="inlineStr">
        <is>
          <t>2025-12-29</t>
        </is>
      </c>
      <c r="C311" s="16" t="inlineStr">
        <is>
          <t>elcomercio.pe</t>
        </is>
      </c>
      <c r="D311" s="16" t="inlineStr">
        <is>
          <t>Cementos Pacasmayo</t>
        </is>
      </c>
      <c r="E311" s="17" t="inlineStr">
        <is>
          <t>Hugo Santa María: “Vamos a tener nerviosismo en las elecciones, pero estamos entrando en una mejor situación que la que teníamos en el 2021″</t>
        </is>
      </c>
      <c r="F311" s="19" t="inlineStr">
        <is>
          <t>Z_sector_macro</t>
        </is>
      </c>
      <c r="G311" s="19" t="n"/>
      <c r="H311" s="20" t="n"/>
      <c r="I311" s="19" t="n"/>
      <c r="J311" s="18" t="inlineStr">
        <is>
          <t>https://elcomercio.pe/economia/peru/hugo-santa-maria-vamos-a-tener-nerviosismo-en-las-elecciones-pero-estamos-entrando-en-una-mejor-situacion-que-la-que-teniamos-en-el-2021-apoyo-consultoria-hugo-santa-maria-noticia/</t>
        </is>
      </c>
    </row>
    <row r="312" ht="28.05" customHeight="1">
      <c r="A312" s="15" t="n">
        <v>311</v>
      </c>
      <c r="B312" s="15" t="inlineStr">
        <is>
          <t>2023-09-12</t>
        </is>
      </c>
      <c r="C312" s="16" t="inlineStr">
        <is>
          <t>gestion.pe</t>
        </is>
      </c>
      <c r="D312" s="16" t="inlineStr">
        <is>
          <t>Compania de Minas Buenaventura</t>
        </is>
      </c>
      <c r="E312" s="17" t="inlineStr">
        <is>
          <t>BVL cierra al alza en medio de cautela antes del dato de inflación de Estados Unidos</t>
        </is>
      </c>
      <c r="F312" s="19" t="inlineStr">
        <is>
          <t>Z_indice_bursatil</t>
        </is>
      </c>
      <c r="G312" s="19" t="n"/>
      <c r="H312" s="20" t="n"/>
      <c r="I312" s="19" t="n"/>
      <c r="J312" s="18" t="inlineStr">
        <is>
          <t>https://gestion.pe/economia/mercados/bvl-cierra-al-alza-en-medio-de-cautela-antes-del-dato-de-inflacion-de-estados-unidos-noticia/</t>
        </is>
      </c>
    </row>
    <row r="313" ht="28.05" customHeight="1">
      <c r="A313" s="15" t="n">
        <v>312</v>
      </c>
      <c r="B313" s="15" t="inlineStr">
        <is>
          <t>2018-01-05</t>
        </is>
      </c>
      <c r="C313" s="16" t="inlineStr">
        <is>
          <t>gestion.pe</t>
        </is>
      </c>
      <c r="D313" s="16" t="inlineStr">
        <is>
          <t>Ferreycorp</t>
        </is>
      </c>
      <c r="E313" s="17" t="inlineStr">
        <is>
          <t>Dakar 2018: Más de 1.5 millones de espectadores convocará el rally que comenzará en Perú</t>
        </is>
      </c>
      <c r="F313" s="19" t="inlineStr">
        <is>
          <t>Z_no_relevante</t>
        </is>
      </c>
      <c r="G313" s="19" t="n"/>
      <c r="H313" s="20" t="n"/>
      <c r="I313" s="19" t="n"/>
      <c r="J313" s="18" t="inlineStr">
        <is>
          <t>http://gestion.pe/tendencias/dakar-2018-1-5-millones-espectadores-convocara-rally-comenzara-peru-224189</t>
        </is>
      </c>
    </row>
    <row r="314" ht="28.05" customHeight="1">
      <c r="A314" s="15" t="n">
        <v>313</v>
      </c>
      <c r="B314" s="15" t="inlineStr">
        <is>
          <t>2024-03-19</t>
        </is>
      </c>
      <c r="C314" s="16" t="inlineStr">
        <is>
          <t>gestion.pe</t>
        </is>
      </c>
      <c r="D314" s="16" t="inlineStr">
        <is>
          <t>Banco de Credito del Peru (BCP)</t>
        </is>
      </c>
      <c r="E314" s="17" t="inlineStr">
        <is>
          <t>Economía peruana sin recesión: crecimiento sería sin “rebote” en el segundo semestre</t>
        </is>
      </c>
      <c r="F314" s="19" t="inlineStr">
        <is>
          <t>Z_sector_macro</t>
        </is>
      </c>
      <c r="G314" s="19" t="n"/>
      <c r="H314" s="20" t="n"/>
      <c r="I314" s="19" t="n"/>
      <c r="J314" s="18" t="inlineStr">
        <is>
          <t>https://gestion.pe/economia/economia-peruana-sin-recesion-crecimiento-seria-sin-rebote-en-el-segundo-semestre-ministerio-de-economia-y-finanzas-mef-moodys-pbi-pbi-noticia/</t>
        </is>
      </c>
    </row>
    <row r="315" ht="28.05" customHeight="1">
      <c r="A315" s="15" t="n">
        <v>314</v>
      </c>
      <c r="B315" s="15" t="inlineStr">
        <is>
          <t>2025-09-26</t>
        </is>
      </c>
      <c r="C315" s="16" t="inlineStr">
        <is>
          <t>elcomercio.pe</t>
        </is>
      </c>
      <c r="D315" s="16" t="inlineStr">
        <is>
          <t>Cementos Pacasmayo</t>
        </is>
      </c>
      <c r="E315" s="17" t="inlineStr">
        <is>
          <t>Líderes empresariales en Perumin 37 coinciden: falta de institucionalidad e informalidad frenan el crecimiento del Perú</t>
        </is>
      </c>
      <c r="F315" s="19" t="inlineStr">
        <is>
          <t>Z_sector_macro</t>
        </is>
      </c>
      <c r="G315" s="19" t="n"/>
      <c r="H315" s="20" t="n"/>
      <c r="I315" s="19" t="n"/>
      <c r="J315" s="18" t="inlineStr">
        <is>
          <t>https://elcomercio.pe/economia/peru/lideres-empresariales-en-perumin-37-coinciden-falta-de-institucionalidad-e-informalidad-frenan-el-crecimiento-del-peru-perumin-37-noticia/</t>
        </is>
      </c>
    </row>
    <row r="316" ht="28.05" customHeight="1">
      <c r="A316" s="15" t="n">
        <v>315</v>
      </c>
      <c r="B316" s="15" t="inlineStr">
        <is>
          <t>2024-01-01</t>
        </is>
      </c>
      <c r="C316" s="16" t="inlineStr">
        <is>
          <t>larepublica.pe</t>
        </is>
      </c>
      <c r="D316" s="16" t="inlineStr">
        <is>
          <t>Luz del Sur</t>
        </is>
      </c>
      <c r="E316" s="17" t="inlineStr">
        <is>
          <t>Incendio en Lince: 6 unidades de bomberos atendieron siniestro que se registró en Año Nuevo</t>
        </is>
      </c>
      <c r="F316" s="19" t="inlineStr">
        <is>
          <t>Z_no_relevante</t>
        </is>
      </c>
      <c r="G316" s="19" t="n"/>
      <c r="H316" s="20" t="n"/>
      <c r="I316" s="19" t="n"/>
      <c r="J316" s="18" t="inlineStr">
        <is>
          <t>https://larepublica.pe/sociedad/2024/01/01/incendio-en-lince-6-unidades-de-bomberos-atendieron-siniestro-que-se-registro-en-ano-nuevo-70109</t>
        </is>
      </c>
    </row>
    <row r="317" ht="28.05" customHeight="1">
      <c r="A317" s="15" t="n">
        <v>316</v>
      </c>
      <c r="B317" s="15" t="inlineStr">
        <is>
          <t>2025-07-29</t>
        </is>
      </c>
      <c r="C317" s="16" t="inlineStr">
        <is>
          <t>larepublica.pe</t>
        </is>
      </c>
      <c r="D317" s="16" t="inlineStr">
        <is>
          <t>Ferreycorp</t>
        </is>
      </c>
      <c r="E317" s="17" t="inlineStr">
        <is>
          <t>Pánico en San Miguel por doble ataque con artefactos explosivos en menos de dos horas</t>
        </is>
      </c>
      <c r="F317" s="19" t="inlineStr">
        <is>
          <t>Z_no_relevante</t>
        </is>
      </c>
      <c r="G317" s="19" t="n"/>
      <c r="H317" s="20" t="n"/>
      <c r="I317" s="19" t="n"/>
      <c r="J317" s="18" t="inlineStr">
        <is>
          <t>https://larepublica.pe/sociedad/2025/07/29/panico-en-san-miguel-vecinos-denuncian-dos-ataques-con-artefactos-explosivos-en-menos-de-dos-horas-489027</t>
        </is>
      </c>
    </row>
    <row r="318" ht="28.05" customHeight="1">
      <c r="A318" s="15" t="n">
        <v>317</v>
      </c>
      <c r="B318" s="15" t="inlineStr">
        <is>
          <t>2025-09-03</t>
        </is>
      </c>
      <c r="C318" s="16" t="inlineStr">
        <is>
          <t>larepublica.pe</t>
        </is>
      </c>
      <c r="D318" s="16" t="inlineStr">
        <is>
          <t>Banco de Credito del Peru (BCP)</t>
        </is>
      </c>
      <c r="E318" s="17" t="inlineStr">
        <is>
          <t>Precio del dólar en Perú HOY, miércoles 3 de septiembre: ¿cuál es la cotización del tipo de cambio?</t>
        </is>
      </c>
      <c r="F318" s="19" t="inlineStr">
        <is>
          <t>Z_mencion_incidental</t>
        </is>
      </c>
      <c r="G318" s="19" t="n"/>
      <c r="H318" s="20" t="n"/>
      <c r="I318" s="19" t="inlineStr">
        <is>
          <t>Tipo de cambio.</t>
        </is>
      </c>
      <c r="J318" s="18" t="inlineStr">
        <is>
          <t>https://larepublica.pe/economia/precio-del-dolar/2025/09/03/cual-es-el-precio-del-dolar-en-peru-hoy-3-de-septiembre-de-2025-cotizacion-actualizada-via-bcrp-y-tipo-de-cambio-a-soles-peruanos-de-usd-a-pen-bloomberg-atmp-195612</t>
        </is>
      </c>
    </row>
    <row r="319" ht="28.05" customHeight="1">
      <c r="A319" s="15" t="n">
        <v>318</v>
      </c>
      <c r="B319" s="15" t="inlineStr">
        <is>
          <t>2020-12-25</t>
        </is>
      </c>
      <c r="C319" s="16" t="inlineStr">
        <is>
          <t>gestion.pe</t>
        </is>
      </c>
      <c r="D319" s="16" t="inlineStr">
        <is>
          <t>Luz del Sur</t>
        </is>
      </c>
      <c r="E319" s="17" t="inlineStr">
        <is>
          <t>Apagón en zonas de Surco, Miraflores, San Isidro y otros distritos a pocas horas de la Navidad</t>
        </is>
      </c>
      <c r="F319" s="19" t="inlineStr">
        <is>
          <t>A_crisis_evento_adverso</t>
        </is>
      </c>
      <c r="G319" s="19" t="inlineStr">
        <is>
          <t>negativo</t>
        </is>
      </c>
      <c r="H319" s="20" t="inlineStr">
        <is>
          <t>x</t>
        </is>
      </c>
      <c r="I319" s="19" t="inlineStr">
        <is>
          <t>Apagon imprevisto en distritos de su zona de concesion. Se separa de los cortes programados (ver fila 39).</t>
        </is>
      </c>
      <c r="J319" s="18" t="inlineStr">
        <is>
          <t>https://gestion.pe/peru/apagon-en-zonas-de-surco-miraflores-san-isidro-y-otros-distritos-a-pocas-horas-de-la-navidad-jesus-maria-chorrillos-lince-nndc-noticia/</t>
        </is>
      </c>
    </row>
    <row r="320" ht="28.05" customHeight="1">
      <c r="A320" s="15" t="n">
        <v>319</v>
      </c>
      <c r="B320" s="15" t="inlineStr">
        <is>
          <t>2023-06-28</t>
        </is>
      </c>
      <c r="C320" s="16" t="inlineStr">
        <is>
          <t>gestion.pe</t>
        </is>
      </c>
      <c r="D320" s="16" t="inlineStr">
        <is>
          <t>Banco de Credito del Peru (BCP)</t>
        </is>
      </c>
      <c r="E320" s="17" t="inlineStr">
        <is>
          <t>Spread bancario del tipo de cambio es cuatro veces el de las fintech</t>
        </is>
      </c>
      <c r="F320" s="19" t="inlineStr">
        <is>
          <t>Z_sector_macro</t>
        </is>
      </c>
      <c r="G320" s="19" t="n"/>
      <c r="H320" s="20" t="inlineStr">
        <is>
          <t>x</t>
        </is>
      </c>
      <c r="I320" s="19" t="inlineStr">
        <is>
          <t>Comparacion de spreads entre banca y fintech.</t>
        </is>
      </c>
      <c r="J320" s="18" t="inlineStr">
        <is>
          <t>https://gestion.pe/tu-dinero/finanzas-personales/spread-bancario-del-tipo-de-cambio-es-cuatro-veces-el-de-las-fintech-casas-de-cambio-fintech-noticia/</t>
        </is>
      </c>
    </row>
    <row r="321" ht="28.05" customHeight="1">
      <c r="A321" s="15" t="n">
        <v>320</v>
      </c>
      <c r="B321" s="15" t="inlineStr">
        <is>
          <t>2023-03-09</t>
        </is>
      </c>
      <c r="C321" s="16" t="inlineStr">
        <is>
          <t>elcomercio.pe</t>
        </is>
      </c>
      <c r="D321" s="16" t="inlineStr">
        <is>
          <t>Minsur</t>
        </is>
      </c>
      <c r="E321" s="17" t="inlineStr">
        <is>
          <t>Fitch Ratings: mineras que operan únicamente en Perú afrontan mayor riesgo por protestas sociales</t>
        </is>
      </c>
      <c r="F321" s="19" t="inlineStr">
        <is>
          <t>C_analisis_opinion</t>
        </is>
      </c>
      <c r="G321" s="19" t="inlineStr">
        <is>
          <t>negativo</t>
        </is>
      </c>
      <c r="H321" s="20" t="inlineStr">
        <is>
          <t>x</t>
        </is>
      </c>
      <c r="I321" s="19" t="inlineStr">
        <is>
          <t>Fitch senala mayor riesgo para mineras que operan solo en Peru.</t>
        </is>
      </c>
      <c r="J321" s="18" t="inlineStr">
        <is>
          <t>https://elcomercio.pe/economia/peru/fitch-ratings-mineras-que-operan-unicamente-en-peru-afrontan-mayor-riesgo-por-protestas-sociales-noticia/</t>
        </is>
      </c>
    </row>
    <row r="322" ht="28.05" customHeight="1">
      <c r="A322" s="15" t="n">
        <v>321</v>
      </c>
      <c r="B322" s="15" t="inlineStr">
        <is>
          <t>2022-07-18</t>
        </is>
      </c>
      <c r="C322" s="16" t="inlineStr">
        <is>
          <t>gestion.pe</t>
        </is>
      </c>
      <c r="D322" s="16" t="inlineStr">
        <is>
          <t>Alicorp</t>
        </is>
      </c>
      <c r="E322" s="17" t="inlineStr">
        <is>
          <t>DeltaX empezará por el mercado peruano para digitalizar el transporte de carga en la región</t>
        </is>
      </c>
      <c r="F322" s="19" t="inlineStr">
        <is>
          <t>Z_no_relevante</t>
        </is>
      </c>
      <c r="G322" s="19" t="n"/>
      <c r="H322" s="20" t="n"/>
      <c r="I322" s="19" t="n"/>
      <c r="J322" s="18" t="inlineStr">
        <is>
          <t>https://gestion.pe/economia/empresas/deltax-empezara-por-el-mercado-peruano-para-digitalizar-el-transporte-de-carga-en-la-region-noticia/</t>
        </is>
      </c>
    </row>
    <row r="323" ht="28.05" customHeight="1">
      <c r="A323" s="15" t="n">
        <v>322</v>
      </c>
      <c r="B323" s="15" t="inlineStr">
        <is>
          <t>2023-07-21</t>
        </is>
      </c>
      <c r="C323" s="16" t="inlineStr">
        <is>
          <t>gestion.pe</t>
        </is>
      </c>
      <c r="D323" s="16" t="inlineStr">
        <is>
          <t>InRetail Peru Corp</t>
        </is>
      </c>
      <c r="E323" s="17" t="inlineStr">
        <is>
          <t>Utilidades de empresas líderes de bolsa limeña habrían caído en segundo trimestre</t>
        </is>
      </c>
      <c r="F323" s="19" t="inlineStr">
        <is>
          <t>Z_mencion_incidental</t>
        </is>
      </c>
      <c r="G323" s="19" t="n"/>
      <c r="H323" s="20" t="n"/>
      <c r="I323" s="19" t="inlineStr">
        <is>
          <t>Utilidades agregadas (ver fila 80).</t>
        </is>
      </c>
      <c r="J323" s="18" t="inlineStr">
        <is>
          <t>https://gestion.pe/economia/mercados/bvl-utilidades-de-empresas-lideres-de-bolsa-limena-habrian-caido-en-segundo-trimestre-noticia/</t>
        </is>
      </c>
    </row>
    <row r="324" ht="28.05" customHeight="1">
      <c r="A324" s="15" t="n">
        <v>323</v>
      </c>
      <c r="B324" s="15" t="inlineStr">
        <is>
          <t>2021-12-13</t>
        </is>
      </c>
      <c r="C324" s="16" t="inlineStr">
        <is>
          <t>larepublica.pe</t>
        </is>
      </c>
      <c r="D324" s="16" t="inlineStr">
        <is>
          <t>Banco de Credito del Peru (BCP)</t>
        </is>
      </c>
      <c r="E324" s="17" t="inlineStr">
        <is>
          <t>Precio del dólar hoy: a cuánto cotiza este lunes 13 de diciembre del 2021</t>
        </is>
      </c>
      <c r="F324" s="19" t="inlineStr">
        <is>
          <t>Z_mencion_incidental</t>
        </is>
      </c>
      <c r="G324" s="19" t="n"/>
      <c r="H324" s="20" t="n"/>
      <c r="I324" s="19" t="inlineStr">
        <is>
          <t>Tipo de cambio.</t>
        </is>
      </c>
      <c r="J324" s="18" t="inlineStr">
        <is>
          <t>https://larepublica.pe/datos-lr/respuestas/2021/12/13/a-cuanto-esta-el-dolar-hoy-tipo-de-cambio-este-lunes-13-de-diciembre-atmp/</t>
        </is>
      </c>
    </row>
    <row r="325" ht="28.05" customHeight="1">
      <c r="A325" s="15" t="n">
        <v>324</v>
      </c>
      <c r="B325" s="15" t="inlineStr">
        <is>
          <t>2023-05-06</t>
        </is>
      </c>
      <c r="C325" s="16" t="inlineStr">
        <is>
          <t>elcomercio.pe</t>
        </is>
      </c>
      <c r="D325" s="16" t="inlineStr">
        <is>
          <t>Luz del Sur</t>
        </is>
      </c>
      <c r="E325" s="17" t="inlineStr">
        <is>
          <t>EstemosListos | ¿Qué se hace para evitar que nos quedemos sin luz ante un terremoto? | LIMA</t>
        </is>
      </c>
      <c r="F325" s="19" t="inlineStr">
        <is>
          <t>Z_mencion_incidental</t>
        </is>
      </c>
      <c r="G325" s="19" t="n"/>
      <c r="H325" s="20" t="inlineStr">
        <is>
          <t>x</t>
        </is>
      </c>
      <c r="I325" s="19" t="inlineStr">
        <is>
          <t>Nota de servicio sobre resiliencia electrica.</t>
        </is>
      </c>
      <c r="J325" s="18" t="inlineStr">
        <is>
          <t>https://elcomercio.pe/lima/sucesos/estemoslistos-que-se-hace-para-evitar-que-nos-quedemos-sin-luz-ante-un-terremoto-noticia/</t>
        </is>
      </c>
    </row>
    <row r="326" ht="28.05" customHeight="1">
      <c r="A326" s="15" t="n">
        <v>325</v>
      </c>
      <c r="B326" s="15" t="inlineStr">
        <is>
          <t>2025-09-20</t>
        </is>
      </c>
      <c r="C326" s="16" t="inlineStr">
        <is>
          <t>larepublica.pe</t>
        </is>
      </c>
      <c r="D326" s="16" t="inlineStr">
        <is>
          <t>Banco de Credito del Peru (BCP)</t>
        </is>
      </c>
      <c r="E326" s="17" t="inlineStr">
        <is>
          <t>El imperio cripto de los Trump: de la Casa Blanca a la blockchain</t>
        </is>
      </c>
      <c r="F326" s="19" t="inlineStr">
        <is>
          <t>Z_no_relevante</t>
        </is>
      </c>
      <c r="G326" s="19" t="n"/>
      <c r="H326" s="20" t="n"/>
      <c r="I326" s="19" t="n"/>
      <c r="J326" s="18" t="inlineStr">
        <is>
          <t>https://larepublica.pe/zona-crypto/2025/09/20/el-imperio-cripto-de-los-trump-de-la-casa-blanca-a-la-blockchain-hnews-723349</t>
        </is>
      </c>
    </row>
    <row r="327" ht="28.05" customHeight="1">
      <c r="A327" s="15" t="n">
        <v>326</v>
      </c>
      <c r="B327" s="15" t="inlineStr">
        <is>
          <t>2017-08-08</t>
        </is>
      </c>
      <c r="C327" s="16" t="inlineStr">
        <is>
          <t>gestion.pe</t>
        </is>
      </c>
      <c r="D327" s="16" t="inlineStr">
        <is>
          <t>Ferreycorp</t>
        </is>
      </c>
      <c r="E327" s="17" t="inlineStr">
        <is>
          <t>Perú e India iniciarán primera ronda de negociaciones en los próximos días para bajar aranceles</t>
        </is>
      </c>
      <c r="F327" s="19" t="inlineStr">
        <is>
          <t>Z_sector_macro</t>
        </is>
      </c>
      <c r="G327" s="19" t="n"/>
      <c r="H327" s="20" t="n"/>
      <c r="I327" s="19" t="inlineStr">
        <is>
          <t>Negociacion arancelaria.</t>
        </is>
      </c>
      <c r="J327" s="18" t="inlineStr">
        <is>
          <t>http://gestion.pe/economia/peru-india-iniciaran-primera-ronda-negociaciones-proximos-dias-bajar-aranceles-2197182</t>
        </is>
      </c>
    </row>
    <row r="328" ht="28.05" customHeight="1">
      <c r="A328" s="15" t="n">
        <v>327</v>
      </c>
      <c r="B328" s="15" t="inlineStr">
        <is>
          <t>2022-04-27</t>
        </is>
      </c>
      <c r="C328" s="16" t="inlineStr">
        <is>
          <t>gestion.pe</t>
        </is>
      </c>
      <c r="D328" s="16" t="inlineStr">
        <is>
          <t>Alicorp</t>
        </is>
      </c>
      <c r="E328" s="17" t="inlineStr">
        <is>
          <t>Ganancias de empresas líderes de BVL se habrían desacelerado en verano</t>
        </is>
      </c>
      <c r="F328" s="19" t="inlineStr">
        <is>
          <t>Z_mencion_incidental</t>
        </is>
      </c>
      <c r="G328" s="19" t="n"/>
      <c r="H328" s="20" t="n"/>
      <c r="I328" s="19" t="inlineStr">
        <is>
          <t>Utilidades agregadas (ver fila 80).</t>
        </is>
      </c>
      <c r="J328" s="18" t="inlineStr">
        <is>
          <t>https://gestion.pe/tu-dinero/ganancias-de-empresas-lideres-de-bvl-se-habrian-desacelerado-en-verano-noticia/</t>
        </is>
      </c>
    </row>
    <row r="329" ht="28.05" customHeight="1">
      <c r="A329" s="15" t="n">
        <v>328</v>
      </c>
      <c r="B329" s="15" t="inlineStr">
        <is>
          <t>2025-12-17</t>
        </is>
      </c>
      <c r="C329" s="16" t="inlineStr">
        <is>
          <t>gestion.pe</t>
        </is>
      </c>
      <c r="D329" s="16" t="inlineStr">
        <is>
          <t>Cementos Pacasmayo</t>
        </is>
      </c>
      <c r="E329" s="17" t="inlineStr">
        <is>
          <t>Acción de Cementos Pacasmayo y su día de gloria con alza de 61%, ¿quiénes venden?</t>
        </is>
      </c>
      <c r="F329" s="19" t="inlineStr">
        <is>
          <t>Z_indice_bursatil</t>
        </is>
      </c>
      <c r="G329" s="19" t="n"/>
      <c r="H329" s="20" t="inlineStr">
        <is>
          <t>x</t>
        </is>
      </c>
      <c r="I329" s="19" t="inlineStr">
        <is>
          <t>Movimiento de la propia accion (+61%) tras el anuncio de Holcim (fila 468). Va a Z por la misma medicion que manda a Z a los resumenes de indice: la noticia seria el retorno del dia, que R3 ya tiene mejor y antes (taxonomia_eventos_R5 §1f). Corregida desde C_analisis_opinion 2026-08-26.</t>
        </is>
      </c>
      <c r="J329" s="18" t="inlineStr">
        <is>
          <t>https://gestion.pe/tu-dinero/accion-de-cementos-pacasmayo-y-su-dia-de-furia-con-alza-de-61-quienes-venden-noticia/</t>
        </is>
      </c>
    </row>
    <row r="330" ht="28.05" customHeight="1">
      <c r="A330" s="15" t="n">
        <v>329</v>
      </c>
      <c r="B330" s="15" t="inlineStr">
        <is>
          <t>2024-10-06</t>
        </is>
      </c>
      <c r="C330" s="16" t="inlineStr">
        <is>
          <t>larepublica.pe</t>
        </is>
      </c>
      <c r="D330" s="16" t="inlineStr">
        <is>
          <t>InRetail Peru Corp</t>
        </is>
      </c>
      <c r="E330" s="17" t="inlineStr">
        <is>
          <t>¿Habrá atención en supermercados este 8 de octubre?: revisa los horarios</t>
        </is>
      </c>
      <c r="F330" s="19" t="inlineStr">
        <is>
          <t>Z_mencion_incidental</t>
        </is>
      </c>
      <c r="G330" s="19" t="n"/>
      <c r="H330" s="20" t="n"/>
      <c r="I330" s="19" t="inlineStr">
        <is>
          <t>Horarios de atencion.</t>
        </is>
      </c>
      <c r="J330" s="18" t="inlineStr">
        <is>
          <t>https://larepublica.pe/sociedad/2024/10/06/habra-atencion-en-supermercados-este-8-de-octubre-revisa-horarios-de-metro-plaza-vea-tottus-y-mas-atmp-193932</t>
        </is>
      </c>
    </row>
    <row r="331" ht="28.05" customHeight="1">
      <c r="A331" s="15" t="n">
        <v>330</v>
      </c>
      <c r="B331" s="15" t="inlineStr">
        <is>
          <t>2014-10-17</t>
        </is>
      </c>
      <c r="C331" s="16" t="inlineStr">
        <is>
          <t>elcomercio.pe</t>
        </is>
      </c>
      <c r="D331" s="16" t="inlineStr">
        <is>
          <t>Saga Falabella</t>
        </is>
      </c>
      <c r="E331" s="17" t="inlineStr">
        <is>
          <t>Los ‘retailers’ van más allá del negocio minorista</t>
        </is>
      </c>
      <c r="F331" s="19" t="inlineStr">
        <is>
          <t>Z_sector_macro</t>
        </is>
      </c>
      <c r="G331" s="19" t="n"/>
      <c r="H331" s="20" t="n"/>
      <c r="I331" s="19" t="n"/>
      <c r="J331" s="18" t="n"/>
    </row>
    <row r="332" ht="28.05" customHeight="1">
      <c r="A332" s="15" t="n">
        <v>331</v>
      </c>
      <c r="B332" s="15" t="inlineStr">
        <is>
          <t>2016-12-21</t>
        </is>
      </c>
      <c r="C332" s="16" t="inlineStr">
        <is>
          <t>elcomercio.pe</t>
        </is>
      </c>
      <c r="D332" s="16" t="inlineStr">
        <is>
          <t>Ferreycorp</t>
        </is>
      </c>
      <c r="E332" s="17" t="inlineStr">
        <is>
          <t>Se lanzarán siete consorcios para fortalecer exportaciones</t>
        </is>
      </c>
      <c r="F332" s="19" t="inlineStr">
        <is>
          <t>Z_sector_macro</t>
        </is>
      </c>
      <c r="G332" s="19" t="n"/>
      <c r="H332" s="20" t="n"/>
      <c r="I332" s="19" t="n"/>
      <c r="J332" s="18" t="inlineStr">
        <is>
          <t>http://elcomercio.pe/economia/peru/se-lanzaran-siete-consorcios-fortalecer-exportaciones-noticia-1955015</t>
        </is>
      </c>
    </row>
    <row r="333" ht="28.05" customHeight="1">
      <c r="A333" s="15" t="n">
        <v>332</v>
      </c>
      <c r="B333" s="15" t="inlineStr">
        <is>
          <t>2022-08-26</t>
        </is>
      </c>
      <c r="C333" s="16" t="inlineStr">
        <is>
          <t>gestion.pe</t>
        </is>
      </c>
      <c r="D333" s="16" t="inlineStr">
        <is>
          <t>InRetail Peru Corp</t>
        </is>
      </c>
      <c r="E333" s="17" t="inlineStr">
        <is>
          <t>Transgénicos: Perú próximo a establecer los niveles mínimos en alimentos procesados | ovm | octogonos de advertencia</t>
        </is>
      </c>
      <c r="F333" s="19" t="inlineStr">
        <is>
          <t>Z_sector_macro</t>
        </is>
      </c>
      <c r="G333" s="19" t="n"/>
      <c r="H333" s="20" t="inlineStr">
        <is>
          <t>x</t>
        </is>
      </c>
      <c r="I333" s="19" t="inlineStr">
        <is>
          <t>Regulacion de transgenicos en alimentos procesados.</t>
        </is>
      </c>
      <c r="J333" s="18" t="inlineStr">
        <is>
          <t>https://gestion.pe/economia/transgenicos-peru-proximo-a-establecer-los-niveles-minimos-en-alimentos-procesados-ovm-octogonos-de-advertencia-noticia/</t>
        </is>
      </c>
    </row>
    <row r="334" ht="28.05" customHeight="1">
      <c r="A334" s="15" t="n">
        <v>333</v>
      </c>
      <c r="B334" s="15" t="inlineStr">
        <is>
          <t>2023-04-13</t>
        </is>
      </c>
      <c r="C334" s="16" t="inlineStr">
        <is>
          <t>gestion.pe</t>
        </is>
      </c>
      <c r="D334" s="16" t="inlineStr">
        <is>
          <t>Alicorp</t>
        </is>
      </c>
      <c r="E334" s="17" t="inlineStr">
        <is>
          <t>BVL cierra con ganancias tras nuevos datos de la economía estadounidense</t>
        </is>
      </c>
      <c r="F334" s="19" t="inlineStr">
        <is>
          <t>Z_indice_bursatil</t>
        </is>
      </c>
      <c r="G334" s="19" t="n"/>
      <c r="H334" s="20" t="n"/>
      <c r="I334" s="19" t="n"/>
      <c r="J334" s="18" t="inlineStr">
        <is>
          <t>https://gestion.pe/economia/mercados/bvl-cierra-con-ganancias-tras-nuevos-datos-de-la-economia-estadounidense-noticia/</t>
        </is>
      </c>
    </row>
    <row r="335" ht="28.05" customHeight="1">
      <c r="A335" s="15" t="n">
        <v>334</v>
      </c>
      <c r="B335" s="15" t="inlineStr">
        <is>
          <t>2025-08-20</t>
        </is>
      </c>
      <c r="C335" s="16" t="inlineStr">
        <is>
          <t>gestion.pe</t>
        </is>
      </c>
      <c r="D335" s="16" t="inlineStr">
        <is>
          <t>Alicorp</t>
        </is>
      </c>
      <c r="E335" s="17" t="inlineStr">
        <is>
          <t>De Dubái al Perú: marca de lujo de perfumes podría ingresar al mercado y competir con Dior</t>
        </is>
      </c>
      <c r="F335" s="19" t="inlineStr">
        <is>
          <t>Z_no_relevante</t>
        </is>
      </c>
      <c r="G335" s="19" t="n"/>
      <c r="H335" s="20" t="inlineStr">
        <is>
          <t>x</t>
        </is>
      </c>
      <c r="I335" s="19" t="inlineStr">
        <is>
          <t>Perfumeria de lujo, fuera del rubro de Alicorp.</t>
        </is>
      </c>
      <c r="J335" s="18" t="inlineStr">
        <is>
          <t>https://gestion.pe/economia/empresas/de-dubai-al-peru-marca-de-lujo-de-perfumes-podria-ingresar-al-mercado-y-competir-con-dior-noticia/</t>
        </is>
      </c>
    </row>
    <row r="336" ht="28.05" customHeight="1">
      <c r="A336" s="15" t="n">
        <v>335</v>
      </c>
      <c r="B336" s="15" t="inlineStr">
        <is>
          <t>2025-05-23</t>
        </is>
      </c>
      <c r="C336" s="16" t="inlineStr">
        <is>
          <t>larepublica.pe</t>
        </is>
      </c>
      <c r="D336" s="16" t="inlineStr">
        <is>
          <t>Banco de Credito del Peru (BCP)</t>
        </is>
      </c>
      <c r="E336" s="17" t="inlineStr">
        <is>
          <t>Precio del dólar en Perú HOY, viernes 23 de mayo: ¿cuál es la cotización del tipo de cambio?</t>
        </is>
      </c>
      <c r="F336" s="19" t="inlineStr">
        <is>
          <t>Z_mencion_incidental</t>
        </is>
      </c>
      <c r="G336" s="19" t="n"/>
      <c r="H336" s="20" t="n"/>
      <c r="I336" s="19" t="inlineStr">
        <is>
          <t>Tipo de cambio.</t>
        </is>
      </c>
      <c r="J336" s="18" t="inlineStr">
        <is>
          <t>https://larepublica.pe/economia/precio-del-dolar/2025/05/23/dolar-hoy-en-peru-cual-es-la-cotizacion-del-tipo-de-cambio-para-este-23-y-24-de-mayo-2025-valor-de-compra-y-venta-via-bcrp-sbs-bloomberg-y-sunat-de-usd-a-pen-precio-del-sol-peruano-atmp-2008204</t>
        </is>
      </c>
    </row>
    <row r="337" ht="28.05" customHeight="1">
      <c r="A337" s="15" t="n">
        <v>336</v>
      </c>
      <c r="B337" s="15" t="inlineStr">
        <is>
          <t>2021-02-21</t>
        </is>
      </c>
      <c r="C337" s="16" t="inlineStr">
        <is>
          <t>elcomercio.pe</t>
        </is>
      </c>
      <c r="D337" s="16" t="inlineStr">
        <is>
          <t>Cementos Pacasmayo</t>
        </is>
      </c>
      <c r="E337" s="17" t="inlineStr">
        <is>
          <t>COVID-19 Perú: Minsa reportó 220 decesos y 7.410 contagios en las últimas 24 horas</t>
        </is>
      </c>
      <c r="F337" s="19" t="inlineStr">
        <is>
          <t>Z_no_relevante</t>
        </is>
      </c>
      <c r="G337" s="19" t="n"/>
      <c r="H337" s="20" t="n"/>
      <c r="I337" s="19" t="n"/>
      <c r="J337" s="18" t="inlineStr">
        <is>
          <t>https://elcomercio.pe/lima/sucesos/covid-19-peru-minsa-reporto-220-decesos-y-7410-contagios-en-las-ultimas-24-horas-nndc-segunda-ola-vacunagate-noticia/</t>
        </is>
      </c>
    </row>
    <row r="338" ht="28.05" customHeight="1">
      <c r="A338" s="15" t="n">
        <v>337</v>
      </c>
      <c r="B338" s="15" t="inlineStr">
        <is>
          <t>2023-11-30</t>
        </is>
      </c>
      <c r="C338" s="16" t="inlineStr">
        <is>
          <t>larepublica.pe</t>
        </is>
      </c>
      <c r="D338" s="16" t="inlineStr">
        <is>
          <t>InRetail Peru Corp</t>
        </is>
      </c>
      <c r="E338" s="17" t="inlineStr">
        <is>
          <t>Mall de San Juan de Lurigancho: caos y heridos en su primer día de inauguración</t>
        </is>
      </c>
      <c r="F338" s="19" t="inlineStr">
        <is>
          <t>A_crisis_evento_adverso</t>
        </is>
      </c>
      <c r="G338" s="19" t="inlineStr">
        <is>
          <t>negativo</t>
        </is>
      </c>
      <c r="H338" s="20" t="inlineStr">
        <is>
          <t>x</t>
        </is>
      </c>
      <c r="I338" s="19" t="inlineStr">
        <is>
          <t>Caos y heridos en la inauguracion de un mall en SJL; el titular no confirma si el operador es InRetail.</t>
        </is>
      </c>
      <c r="J338" s="18" t="inlineStr">
        <is>
          <t>https://larepublica.pe/sociedad/2023/11/30/inauguracion-de-nuevo-mall-de-san-juan-de-lurigancho-caos-pelea-y-heridos-registro-en-su-primer-dia-2964360</t>
        </is>
      </c>
    </row>
    <row r="339" ht="28.05" customHeight="1">
      <c r="A339" s="15" t="n">
        <v>338</v>
      </c>
      <c r="B339" s="15" t="inlineStr">
        <is>
          <t>2018-02-22</t>
        </is>
      </c>
      <c r="C339" s="16" t="inlineStr">
        <is>
          <t>elcomercio.pe</t>
        </is>
      </c>
      <c r="D339" s="16" t="inlineStr">
        <is>
          <t>Banco de Credito del Peru (BCP)</t>
        </is>
      </c>
      <c r="E339" s="17" t="inlineStr">
        <is>
          <t>Ministro del Interior descartó que militares salgan a las calles a combatir la delincuencia</t>
        </is>
      </c>
      <c r="F339" s="19" t="inlineStr">
        <is>
          <t>Z_no_relevante</t>
        </is>
      </c>
      <c r="G339" s="19" t="n"/>
      <c r="H339" s="20" t="n"/>
      <c r="I339" s="19" t="n"/>
      <c r="J339" s="18" t="inlineStr">
        <is>
          <t>http://elcomercio.pe/lima/seguridad/ministro-interior-descarto-militares-salgan-calles-combatir-delincuencia-noticia-499425</t>
        </is>
      </c>
    </row>
    <row r="340" ht="28.05" customHeight="1">
      <c r="A340" s="15" t="n">
        <v>339</v>
      </c>
      <c r="B340" s="15" t="inlineStr">
        <is>
          <t>2022-12-01</t>
        </is>
      </c>
      <c r="C340" s="16" t="inlineStr">
        <is>
          <t>gestion.pe</t>
        </is>
      </c>
      <c r="D340" s="16" t="inlineStr">
        <is>
          <t>Alicorp</t>
        </is>
      </c>
      <c r="E340" s="17" t="inlineStr">
        <is>
          <t>Bolsa de Valores de Lima cierra al alza en medio de expectativas por menor ritmo en alzas de tasas EE.UU.</t>
        </is>
      </c>
      <c r="F340" s="19" t="inlineStr">
        <is>
          <t>Z_indice_bursatil</t>
        </is>
      </c>
      <c r="G340" s="19" t="n"/>
      <c r="H340" s="20" t="n"/>
      <c r="I340" s="19" t="n"/>
      <c r="J340" s="18" t="inlineStr">
        <is>
          <t>https://gestion.pe/economia/bolsa-de-valores-de-lima-cierra-al-alza-en-medio-de-expectativas-por-menor-ritmo-en-alzas-de-tasas-eeuu-rmmn-noticia/</t>
        </is>
      </c>
    </row>
    <row r="341" ht="28.05" customHeight="1">
      <c r="A341" s="15" t="n">
        <v>340</v>
      </c>
      <c r="B341" s="15" t="inlineStr">
        <is>
          <t>2017-04-17</t>
        </is>
      </c>
      <c r="C341" s="16" t="inlineStr">
        <is>
          <t>gestion.pe</t>
        </is>
      </c>
      <c r="D341" s="16" t="inlineStr">
        <is>
          <t>Minsur</t>
        </is>
      </c>
      <c r="E341" s="17" t="inlineStr">
        <is>
          <t>Senace aprueba modificar EIA a proyecto de US$ 344 millones de minera San Rafael</t>
        </is>
      </c>
      <c r="F341" s="19" t="inlineStr">
        <is>
          <t>A_regulatorio_material</t>
        </is>
      </c>
      <c r="G341" s="19" t="inlineStr">
        <is>
          <t>positivo</t>
        </is>
      </c>
      <c r="H341" s="20" t="inlineStr">
        <is>
          <t>x</t>
        </is>
      </c>
      <c r="I341" s="19" t="inlineStr">
        <is>
          <t>San Rafael es la mina de Minsur y el Senace aprueba la modificacion de su EIA. Alternativa: B_estrategia_inversion.</t>
        </is>
      </c>
      <c r="J341" s="18" t="inlineStr">
        <is>
          <t>http://gestion.pe/empresas/senace-aprueba-modificar-eia-proyecto-us-344-millones-minera-san-rafael-2187586</t>
        </is>
      </c>
    </row>
    <row r="342" ht="28.05" customHeight="1">
      <c r="A342" s="15" t="n">
        <v>341</v>
      </c>
      <c r="B342" s="15" t="inlineStr">
        <is>
          <t>2018-07-16</t>
        </is>
      </c>
      <c r="C342" s="16" t="inlineStr">
        <is>
          <t>elcomercio.pe</t>
        </is>
      </c>
      <c r="D342" s="16" t="inlineStr">
        <is>
          <t>Ferreycorp</t>
        </is>
      </c>
      <c r="E342" s="17" t="inlineStr">
        <is>
          <t>Bolsa de Lima cierra a la baja tras una jornada de escasos negocios</t>
        </is>
      </c>
      <c r="F342" s="19" t="inlineStr">
        <is>
          <t>Z_indice_bursatil</t>
        </is>
      </c>
      <c r="G342" s="19" t="n"/>
      <c r="H342" s="20" t="n"/>
      <c r="I342" s="19" t="n"/>
      <c r="J342" s="18" t="inlineStr">
        <is>
          <t>http://elcomercio.pe/economia/mercados/bolsa-lima-cierra-baja-jornada-escasos-negocios-noticia-536711</t>
        </is>
      </c>
    </row>
    <row r="343" ht="28.05" customHeight="1">
      <c r="A343" s="15" t="n">
        <v>342</v>
      </c>
      <c r="B343" s="15" t="inlineStr">
        <is>
          <t>2017-11-26</t>
        </is>
      </c>
      <c r="C343" s="16" t="inlineStr">
        <is>
          <t>elcomercio.pe</t>
        </is>
      </c>
      <c r="D343" s="16" t="inlineStr">
        <is>
          <t>Luz del Sur</t>
        </is>
      </c>
      <c r="E343" s="17" t="inlineStr">
        <is>
          <t>El Derby en su laberinto: proyecto vial sigue entrampado</t>
        </is>
      </c>
      <c r="F343" s="19" t="inlineStr">
        <is>
          <t>Z_no_relevante</t>
        </is>
      </c>
      <c r="G343" s="19" t="n"/>
      <c r="H343" s="20" t="n"/>
      <c r="I343" s="19" t="n"/>
      <c r="J343" s="18" t="inlineStr">
        <is>
          <t>http://elcomercio.pe/lima/transporte/derby-laberinto-proyecto-vial-sigue-entrampado-noticia-476774</t>
        </is>
      </c>
    </row>
    <row r="344" ht="28.05" customHeight="1">
      <c r="A344" s="15" t="n">
        <v>343</v>
      </c>
      <c r="B344" s="15" t="inlineStr">
        <is>
          <t>2025-01-06</t>
        </is>
      </c>
      <c r="C344" s="16" t="inlineStr">
        <is>
          <t>larepublica.pe</t>
        </is>
      </c>
      <c r="D344" s="16" t="inlineStr">
        <is>
          <t>Alicorp</t>
        </is>
      </c>
      <c r="E344" s="17" t="inlineStr">
        <is>
          <t>Ingeniero que trabajó en Qatar y Alemania recuerda su difícil ingreso a la UNI: "Intenté 3 veces"</t>
        </is>
      </c>
      <c r="F344" s="19" t="inlineStr">
        <is>
          <t>Z_no_relevante</t>
        </is>
      </c>
      <c r="G344" s="19" t="n"/>
      <c r="H344" s="20" t="n"/>
      <c r="I344" s="19" t="n"/>
      <c r="J344" s="18" t="inlineStr">
        <is>
          <t>https://larepublica.pe/tendencias/2025/01/06/ingeniero-peruano-que-trabajo-en-multinacionales-de-qatar-y-alemania-explico-lo-dificil-que-fue-ingresar-a-la-uni-fue-duro-evat-69372</t>
        </is>
      </c>
    </row>
    <row r="345" ht="28.05" customHeight="1">
      <c r="A345" s="15" t="n">
        <v>344</v>
      </c>
      <c r="B345" s="15" t="inlineStr">
        <is>
          <t>2020-09-26</t>
        </is>
      </c>
      <c r="C345" s="16" t="inlineStr">
        <is>
          <t>larepublica.pe</t>
        </is>
      </c>
      <c r="D345" s="16" t="inlineStr">
        <is>
          <t>Saga Falabella</t>
        </is>
      </c>
      <c r="E345" s="17" t="inlineStr">
        <is>
          <t>Huawei Watch Fit: un smartwatch capaz de monitorear la saturación de oxígeno en la sangre</t>
        </is>
      </c>
      <c r="F345" s="19" t="inlineStr">
        <is>
          <t>Z_no_relevante</t>
        </is>
      </c>
      <c r="G345" s="19" t="n"/>
      <c r="H345" s="20" t="n"/>
      <c r="I345" s="19" t="n"/>
      <c r="J345" s="18" t="inlineStr">
        <is>
          <t>https://larepublica.pe/tecnologia/2020/09/26/huawei-watch-fit-un-smartwatch-capaz-de-monitorear-la-saturacion-de-oxigeno-en-la-sangre/</t>
        </is>
      </c>
    </row>
    <row r="346" ht="28.05" customHeight="1">
      <c r="A346" s="15" t="n">
        <v>345</v>
      </c>
      <c r="B346" s="15" t="inlineStr">
        <is>
          <t>2018-03-23</t>
        </is>
      </c>
      <c r="C346" s="16" t="inlineStr">
        <is>
          <t>larepublica.pe</t>
        </is>
      </c>
      <c r="D346" s="16" t="inlineStr">
        <is>
          <t>Ferreycorp</t>
        </is>
      </c>
      <c r="E346" s="17" t="inlineStr">
        <is>
          <t>Tottus presenta campaña con las mamás de los jugadores de la bicolor</t>
        </is>
      </c>
      <c r="F346" s="19" t="inlineStr">
        <is>
          <t>Z_no_relevante</t>
        </is>
      </c>
      <c r="G346" s="19" t="n"/>
      <c r="H346" s="20" t="n"/>
      <c r="I346" s="19" t="inlineStr">
        <is>
          <t>Tottus es del grupo Falabella; la fila es Ferreycorp.</t>
        </is>
      </c>
      <c r="J346" s="18" t="inlineStr">
        <is>
          <t>http://larepublica.pe/marketing/1215945-tottus-presenta-campana-con-las-mamas-de-los-jugadores-de-la-bicolor</t>
        </is>
      </c>
    </row>
    <row r="347" ht="28.05" customHeight="1">
      <c r="A347" s="15" t="n">
        <v>346</v>
      </c>
      <c r="B347" s="15" t="inlineStr">
        <is>
          <t>2020-06-28</t>
        </is>
      </c>
      <c r="C347" s="16" t="inlineStr">
        <is>
          <t>larepublica.pe</t>
        </is>
      </c>
      <c r="D347" s="16" t="inlineStr">
        <is>
          <t>Alicorp</t>
        </is>
      </c>
      <c r="E347" s="17" t="inlineStr">
        <is>
          <t>Las ‘negritas’ de la publicidad peruana</t>
        </is>
      </c>
      <c r="F347" s="19" t="inlineStr">
        <is>
          <t>Z_mencion_incidental</t>
        </is>
      </c>
      <c r="G347" s="19" t="n"/>
      <c r="H347" s="20" t="n"/>
      <c r="I347" s="19" t="inlineStr">
        <is>
          <t>Retrospectiva publicitaria.</t>
        </is>
      </c>
      <c r="J347" s="18" t="inlineStr">
        <is>
          <t>https://larepublica.pe/domingo/2020/06/28/las-negritas-de-la-publicidad-peruana/</t>
        </is>
      </c>
    </row>
    <row r="348" ht="28.05" customHeight="1">
      <c r="A348" s="15" t="n">
        <v>347</v>
      </c>
      <c r="B348" s="15" t="inlineStr">
        <is>
          <t>2017-04-30</t>
        </is>
      </c>
      <c r="C348" s="16" t="inlineStr">
        <is>
          <t>elcomercio.pe</t>
        </is>
      </c>
      <c r="D348" s="16" t="inlineStr">
        <is>
          <t>Banco de Credito del Peru (BCP)</t>
        </is>
      </c>
      <c r="E348" s="17" t="inlineStr">
        <is>
          <t>Avance del sector energético será moderado este año</t>
        </is>
      </c>
      <c r="F348" s="19" t="inlineStr">
        <is>
          <t>Z_sector_macro</t>
        </is>
      </c>
      <c r="G348" s="19" t="n"/>
      <c r="H348" s="20" t="n"/>
      <c r="I348" s="19" t="n"/>
      <c r="J348" s="18" t="inlineStr">
        <is>
          <t>http://elcomercio.pe/economia/peru/avance-sector-energetico-moderado-este-ano-noticia-1988055</t>
        </is>
      </c>
    </row>
    <row r="349" ht="28.05" customHeight="1">
      <c r="A349" s="15" t="n">
        <v>348</v>
      </c>
      <c r="B349" s="15" t="inlineStr">
        <is>
          <t>2020-06-24</t>
        </is>
      </c>
      <c r="C349" s="16" t="inlineStr">
        <is>
          <t>elcomercio.pe</t>
        </is>
      </c>
      <c r="D349" s="16" t="inlineStr">
        <is>
          <t>Alicorp</t>
        </is>
      </c>
      <c r="E349" s="17" t="inlineStr">
        <is>
          <t>¿Por qué el cambio de nombre e imagen de Negrita ha generado tantas discrepancias?</t>
        </is>
      </c>
      <c r="F349" s="19" t="inlineStr">
        <is>
          <t>Z_marketing_promocion</t>
        </is>
      </c>
      <c r="G349" s="19" t="n"/>
      <c r="H349" s="20" t="inlineStr">
        <is>
          <t>x</t>
        </is>
      </c>
      <c r="I349" s="19" t="inlineStr">
        <is>
          <t>Cambio de marca Negrita (ver fila 230).</t>
        </is>
      </c>
      <c r="J349" s="18" t="inlineStr">
        <is>
          <t>https://elcomercio.pe/economia/dia-1/negrita-alicorp-por-que-el-cambio-de-nombre-e-imagen-de-negrita-ha-generado-tantas-discrepancias-noticia/</t>
        </is>
      </c>
    </row>
    <row r="350" ht="28.05" customHeight="1">
      <c r="A350" s="15" t="n">
        <v>349</v>
      </c>
      <c r="B350" s="15" t="inlineStr">
        <is>
          <t>2021-05-30</t>
        </is>
      </c>
      <c r="C350" s="16" t="inlineStr">
        <is>
          <t>larepublica.pe</t>
        </is>
      </c>
      <c r="D350" s="16" t="inlineStr">
        <is>
          <t>Alicorp</t>
        </is>
      </c>
      <c r="E350" s="17" t="inlineStr">
        <is>
          <t>La papa y el agro en campaña: esto proponen Perú Libre y Fuerza Popular</t>
        </is>
      </c>
      <c r="F350" s="19" t="inlineStr">
        <is>
          <t>Z_sector_macro</t>
        </is>
      </c>
      <c r="G350" s="19" t="n"/>
      <c r="H350" s="20" t="n"/>
      <c r="I350" s="19" t="inlineStr">
        <is>
          <t>Propuestas de campana sobre el agro.</t>
        </is>
      </c>
      <c r="J350" s="18" t="inlineStr">
        <is>
          <t>https://larepublica.pe/elecciones/2021/05/30/elecciones-2021-la-papa-y-el-agro-en-campana-esto-proponen-peru-libre-y-fuerza-popular-pltc/</t>
        </is>
      </c>
    </row>
    <row r="351" ht="28.05" customHeight="1">
      <c r="A351" s="15" t="n">
        <v>350</v>
      </c>
      <c r="B351" s="15" t="inlineStr">
        <is>
          <t>2022-03-11</t>
        </is>
      </c>
      <c r="C351" s="16" t="inlineStr">
        <is>
          <t>gestion.pe</t>
        </is>
      </c>
      <c r="D351" s="16" t="inlineStr">
        <is>
          <t>Compania de Minas Buenaventura</t>
        </is>
      </c>
      <c r="E351" s="17" t="inlineStr">
        <is>
          <t>Bolsa de Valores de Lima comienza sesión con indicadores mixtos</t>
        </is>
      </c>
      <c r="F351" s="19" t="inlineStr">
        <is>
          <t>Z_indice_bursatil</t>
        </is>
      </c>
      <c r="G351" s="19" t="n"/>
      <c r="H351" s="20" t="n"/>
      <c r="I351" s="19" t="n"/>
      <c r="J351" s="18" t="inlineStr">
        <is>
          <t>https://gestion.pe/economia/mercados/bolsa-de-valores-de-lima-comienza-sesion-con-indicadores-mixtos-rmmn-noticia/</t>
        </is>
      </c>
    </row>
    <row r="352" ht="28.05" customHeight="1">
      <c r="A352" s="15" t="n">
        <v>351</v>
      </c>
      <c r="B352" s="15" t="inlineStr">
        <is>
          <t>2025-02-08</t>
        </is>
      </c>
      <c r="C352" s="16" t="inlineStr">
        <is>
          <t>gestion.pe</t>
        </is>
      </c>
      <c r="D352" s="16" t="inlineStr">
        <is>
          <t>Alicorp</t>
        </is>
      </c>
      <c r="E352" s="17" t="inlineStr">
        <is>
          <t>Tralsa en tierra y mar: el proyecto de almacenaje y ducto de aceites en Callao</t>
        </is>
      </c>
      <c r="F352" s="19" t="inlineStr">
        <is>
          <t>Z_sector_macro</t>
        </is>
      </c>
      <c r="G352" s="19" t="n"/>
      <c r="H352" s="20" t="inlineStr">
        <is>
          <t>x</t>
        </is>
      </c>
      <c r="I352" s="19" t="inlineStr">
        <is>
          <t>Proyecto de almacenaje de aceites de un tercero en Callao.</t>
        </is>
      </c>
      <c r="J352" s="18" t="inlineStr">
        <is>
          <t>https://gestion.pe/economia/empresas/tralsa-y-sus-planes-en-el-callao-nuevos-tanques-de-aceites-y-quimicos-para-atender-demanda-local-carga-a-granel-liquidos-trigono-capital-noticia/</t>
        </is>
      </c>
    </row>
    <row r="353" ht="28.05" customHeight="1">
      <c r="A353" s="15" t="n">
        <v>352</v>
      </c>
      <c r="B353" s="15" t="inlineStr">
        <is>
          <t>2015-10-19</t>
        </is>
      </c>
      <c r="C353" s="16" t="inlineStr">
        <is>
          <t>gestion.pe</t>
        </is>
      </c>
      <c r="D353" s="16" t="inlineStr">
        <is>
          <t>Alicorp</t>
        </is>
      </c>
      <c r="E353" s="17" t="inlineStr">
        <is>
          <t>Ganancias de empresas líderes de la bolsa habrían retrocedido en 23.5%</t>
        </is>
      </c>
      <c r="F353" s="19" t="inlineStr">
        <is>
          <t>Z_mencion_incidental</t>
        </is>
      </c>
      <c r="G353" s="19" t="n"/>
      <c r="H353" s="20" t="n"/>
      <c r="I353" s="19" t="inlineStr">
        <is>
          <t>Utilidades agregadas (ver fila 80).</t>
        </is>
      </c>
      <c r="J353" s="18" t="inlineStr">
        <is>
          <t>http://gestion.pe/economia/ganancias-empresas-lideres-bolsa-habrian-retrocedido-235-2145852</t>
        </is>
      </c>
    </row>
    <row r="354" ht="28.05" customHeight="1">
      <c r="A354" s="15" t="n">
        <v>353</v>
      </c>
      <c r="B354" s="15" t="inlineStr">
        <is>
          <t>2024-04-25</t>
        </is>
      </c>
      <c r="C354" s="16" t="inlineStr">
        <is>
          <t>larepublica.pe</t>
        </is>
      </c>
      <c r="D354" s="16" t="inlineStr">
        <is>
          <t>Alicorp</t>
        </is>
      </c>
      <c r="E354" s="17" t="inlineStr">
        <is>
          <t>Fonavista tras hacer larga cola para último pago: "Lo poco que recibimos se irá en medicamentos"</t>
        </is>
      </c>
      <c r="F354" s="19" t="inlineStr">
        <is>
          <t>Z_no_relevante</t>
        </is>
      </c>
      <c r="G354" s="19" t="n"/>
      <c r="H354" s="20" t="n"/>
      <c r="I354" s="19" t="n"/>
      <c r="J354" s="18" t="inlineStr">
        <is>
          <t>https://larepublica.pe/sociedad/2024/04/25/arequipa-fonavista-tras-hacer-larga-cola-para-ultimo-pago-lo-poco-que-recibimos-se-ira-en-medicamentos-lrsd-1961075</t>
        </is>
      </c>
    </row>
    <row r="355" ht="28.05" customHeight="1">
      <c r="A355" s="15" t="n">
        <v>354</v>
      </c>
      <c r="B355" s="15" t="inlineStr">
        <is>
          <t>2014-02-20</t>
        </is>
      </c>
      <c r="C355" s="16" t="inlineStr">
        <is>
          <t>elcomercio.pe</t>
        </is>
      </c>
      <c r="D355" s="16" t="inlineStr">
        <is>
          <t>Banco de Credito del Peru (BCP)</t>
        </is>
      </c>
      <c r="E355" s="17" t="inlineStr">
        <is>
          <t>Operaciones bancarias: usuarios optan por agente que ventanilla</t>
        </is>
      </c>
      <c r="F355" s="19" t="inlineStr">
        <is>
          <t>Z_sector_macro</t>
        </is>
      </c>
      <c r="G355" s="19" t="n"/>
      <c r="H355" s="20" t="n"/>
      <c r="I355" s="19" t="inlineStr">
        <is>
          <t>Canales de atencion de la banca.</t>
        </is>
      </c>
      <c r="J355" s="18" t="inlineStr">
        <is>
          <t>http://elcomercio.pe/economia/peru/operaciones-bancarias-usarios-optan-agentes-que-ventanilla-noticia-1711009</t>
        </is>
      </c>
    </row>
    <row r="356" ht="28.05" customHeight="1">
      <c r="A356" s="15" t="n">
        <v>355</v>
      </c>
      <c r="B356" s="15" t="inlineStr">
        <is>
          <t>2014-07-14</t>
        </is>
      </c>
      <c r="C356" s="16" t="inlineStr">
        <is>
          <t>larepublica.pe</t>
        </is>
      </c>
      <c r="D356" s="16" t="inlineStr">
        <is>
          <t>Saga Falabella</t>
        </is>
      </c>
      <c r="E356" s="17" t="inlineStr">
        <is>
          <t>Cyber Perú Day: Cuponidad prepara ofertas especiales para sorprender este 15 y 16 de julio</t>
        </is>
      </c>
      <c r="F356" s="19" t="inlineStr">
        <is>
          <t>Z_marketing_promocion</t>
        </is>
      </c>
      <c r="G356" s="19" t="n"/>
      <c r="H356" s="20" t="n"/>
      <c r="I356" s="19" t="inlineStr">
        <is>
          <t>Campana comercial.</t>
        </is>
      </c>
      <c r="J356" s="18" t="n"/>
    </row>
    <row r="357" ht="28.05" customHeight="1">
      <c r="A357" s="15" t="n">
        <v>356</v>
      </c>
      <c r="B357" s="15" t="inlineStr">
        <is>
          <t>2024-07-05</t>
        </is>
      </c>
      <c r="C357" s="16" t="inlineStr">
        <is>
          <t>gestion.pe</t>
        </is>
      </c>
      <c r="D357" s="16" t="inlineStr">
        <is>
          <t>Banco de Credito del Peru (BCP)</t>
        </is>
      </c>
      <c r="E357" s="17" t="inlineStr">
        <is>
          <t>Tecnológica N5 diversifica portafolio en busca triplicar clientes en Perú</t>
        </is>
      </c>
      <c r="F357" s="19" t="inlineStr">
        <is>
          <t>Z_no_relevante</t>
        </is>
      </c>
      <c r="G357" s="19" t="n"/>
      <c r="H357" s="20" t="n"/>
      <c r="I357" s="19" t="n"/>
      <c r="J357" s="18" t="inlineStr">
        <is>
          <t>https://gestion.pe/economia/empresas/tecnologica-n5-diversifica-portafolio-en-busca-triplicar-clientes-en-peru-empresas-bancos-bcp-jp-morgan-software-noticia/</t>
        </is>
      </c>
    </row>
    <row r="358" ht="28.05" customHeight="1">
      <c r="A358" s="15" t="n">
        <v>357</v>
      </c>
      <c r="B358" s="15" t="inlineStr">
        <is>
          <t>2017-07-17</t>
        </is>
      </c>
      <c r="C358" s="16" t="inlineStr">
        <is>
          <t>gestion.pe</t>
        </is>
      </c>
      <c r="D358" s="16" t="inlineStr">
        <is>
          <t>Ferreycorp</t>
        </is>
      </c>
      <c r="E358" s="17" t="inlineStr">
        <is>
          <t>Merco Talento 2017 premió a las empresas peruanas líderes en retención de talento</t>
        </is>
      </c>
      <c r="F358" s="19" t="inlineStr">
        <is>
          <t>Z_mencion_incidental</t>
        </is>
      </c>
      <c r="G358" s="19" t="n"/>
      <c r="H358" s="20" t="n"/>
      <c r="I358" s="19" t="inlineStr">
        <is>
          <t>Ranking de talento.</t>
        </is>
      </c>
      <c r="J358" s="18" t="inlineStr">
        <is>
          <t>http://gestion.pe/empresas/merco-talento-2017-premio-empresas-peruanas-lideres-retencion-talento-2195331</t>
        </is>
      </c>
    </row>
    <row r="359" ht="28.05" customHeight="1">
      <c r="A359" s="15" t="n">
        <v>358</v>
      </c>
      <c r="B359" s="15" t="inlineStr">
        <is>
          <t>2021-10-22</t>
        </is>
      </c>
      <c r="C359" s="16" t="inlineStr">
        <is>
          <t>elcomercio.pe</t>
        </is>
      </c>
      <c r="D359" s="16" t="inlineStr">
        <is>
          <t>Cementos Pacasmayo</t>
        </is>
      </c>
      <c r="E359" s="17" t="inlineStr">
        <is>
          <t>BVL Bolsa de Valores de Lima inicia jornada al alza tras haber borrado todas sus pérdidas en el año nndc</t>
        </is>
      </c>
      <c r="F359" s="19" t="inlineStr">
        <is>
          <t>Z_indice_bursatil</t>
        </is>
      </c>
      <c r="G359" s="19" t="n"/>
      <c r="H359" s="20" t="n"/>
      <c r="I359" s="19" t="n"/>
      <c r="J359" s="18" t="inlineStr">
        <is>
          <t>https://elcomercio.pe/economia/mercados/bvl-bolsa-de-valores-de-lima-inicia-jornada-al-alza-tras-haber-borrado-todas-sus-perdidas-en-el-ano-nndc-noticia/</t>
        </is>
      </c>
    </row>
    <row r="360" ht="28.05" customHeight="1">
      <c r="A360" s="15" t="n">
        <v>359</v>
      </c>
      <c r="B360" s="15" t="inlineStr">
        <is>
          <t>2024-06-14</t>
        </is>
      </c>
      <c r="C360" s="16" t="inlineStr">
        <is>
          <t>gestion.pe</t>
        </is>
      </c>
      <c r="D360" s="16" t="inlineStr">
        <is>
          <t>Alicorp</t>
        </is>
      </c>
      <c r="E360" s="17" t="inlineStr">
        <is>
          <t>BVL cerró a la baja pese a datos positivos de la economía estadounidense</t>
        </is>
      </c>
      <c r="F360" s="19" t="inlineStr">
        <is>
          <t>Z_indice_bursatil</t>
        </is>
      </c>
      <c r="G360" s="19" t="n"/>
      <c r="H360" s="20" t="n"/>
      <c r="I360" s="19" t="n"/>
      <c r="J360" s="18" t="inlineStr">
        <is>
          <t>https://gestion.pe/economia/mercados/bvl-cerro-a-la-baja-pese-a-datos-positivos-de-la-economia-estadounidense-noticia/</t>
        </is>
      </c>
    </row>
    <row r="361" ht="28.05" customHeight="1">
      <c r="A361" s="15" t="n">
        <v>360</v>
      </c>
      <c r="B361" s="15" t="inlineStr">
        <is>
          <t>2022-03-22</t>
        </is>
      </c>
      <c r="C361" s="16" t="inlineStr">
        <is>
          <t>gestion.pe</t>
        </is>
      </c>
      <c r="D361" s="16" t="inlineStr">
        <is>
          <t>Compania de Minas Buenaventura</t>
        </is>
      </c>
      <c r="E361" s="17" t="inlineStr">
        <is>
          <t>Bolsa de Valores de Lima cierra con indicadores mixtos tras retroceso de sectores minero y consumo</t>
        </is>
      </c>
      <c r="F361" s="19" t="inlineStr">
        <is>
          <t>Z_indice_bursatil</t>
        </is>
      </c>
      <c r="G361" s="19" t="n"/>
      <c r="H361" s="20" t="n"/>
      <c r="I361" s="19" t="n"/>
      <c r="J361" s="18" t="inlineStr">
        <is>
          <t>https://gestion.pe/economia/mercados/bolsa-de-valores-de-lima-cierra-con-indicadores-mixtos-tras-retroceso-de-sectores-minero-y-consumo-rmmn-noticia/</t>
        </is>
      </c>
    </row>
    <row r="362" ht="28.05" customHeight="1">
      <c r="A362" s="15" t="n">
        <v>361</v>
      </c>
      <c r="B362" s="15" t="inlineStr">
        <is>
          <t>2024-03-28</t>
        </is>
      </c>
      <c r="C362" s="16" t="inlineStr">
        <is>
          <t>gestion.pe</t>
        </is>
      </c>
      <c r="D362" s="16" t="inlineStr">
        <is>
          <t>Minsur</t>
        </is>
      </c>
      <c r="E362" s="17" t="inlineStr">
        <is>
          <t>El Perú cuenta con 37 proyectos de exploración de cobre</t>
        </is>
      </c>
      <c r="F362" s="19" t="inlineStr">
        <is>
          <t>Z_sector_macro</t>
        </is>
      </c>
      <c r="G362" s="19" t="n"/>
      <c r="H362" s="20" t="n"/>
      <c r="I362" s="19" t="n"/>
      <c r="J362" s="18" t="inlineStr">
        <is>
          <t>https://gestion.pe/economia/empresas/el-peru-cuenta-con-37-proyectos-de-exploracion-de-cobre-mineria-iimp-noticia/</t>
        </is>
      </c>
    </row>
    <row r="363" ht="28.05" customHeight="1">
      <c r="A363" s="15" t="n">
        <v>362</v>
      </c>
      <c r="B363" s="15" t="inlineStr">
        <is>
          <t>2021-12-03</t>
        </is>
      </c>
      <c r="C363" s="16" t="inlineStr">
        <is>
          <t>elcomercio.pe</t>
        </is>
      </c>
      <c r="D363" s="16" t="inlineStr">
        <is>
          <t>InRetail Peru Corp</t>
        </is>
      </c>
      <c r="E363" s="17" t="inlineStr">
        <is>
          <t>Cheese Tris apelará para seguir en el mercado peruano tras alerta de Indecopi por superar límite de grasas trans</t>
        </is>
      </c>
      <c r="F363" s="19" t="inlineStr">
        <is>
          <t>Z_no_relevante</t>
        </is>
      </c>
      <c r="G363" s="19" t="n"/>
      <c r="H363" s="20" t="inlineStr">
        <is>
          <t>x</t>
        </is>
      </c>
      <c r="I363" s="19" t="inlineStr">
        <is>
          <t>Sancion de Indecopi a un producto de otra empresa.</t>
        </is>
      </c>
      <c r="J363" s="18" t="inlineStr">
        <is>
          <t>https://elcomercio.pe/economia/peru/cheese-tris-apelara-para-seguir-en-el-mercado-peruano-tras-alerta-de-indecopi-por-superar-limite-de-grasas-trans-nndc-noticia/</t>
        </is>
      </c>
    </row>
    <row r="364" ht="28.05" customHeight="1">
      <c r="A364" s="15" t="n">
        <v>363</v>
      </c>
      <c r="B364" s="15" t="inlineStr">
        <is>
          <t>2021-12-15</t>
        </is>
      </c>
      <c r="C364" s="16" t="inlineStr">
        <is>
          <t>elcomercio.pe</t>
        </is>
      </c>
      <c r="D364" s="16" t="inlineStr">
        <is>
          <t>InRetail Peru Corp</t>
        </is>
      </c>
      <c r="E364" s="17" t="inlineStr">
        <is>
          <t>Comprar celular | Precios | Osiptel lanza herramienta para comparar costos de un equipo móvil | Smartphones | ComparaMóvil | TECNOLOGIA</t>
        </is>
      </c>
      <c r="F364" s="19" t="inlineStr">
        <is>
          <t>Z_no_relevante</t>
        </is>
      </c>
      <c r="G364" s="19" t="n"/>
      <c r="H364" s="20" t="n"/>
      <c r="I364" s="19" t="n"/>
      <c r="J364" s="18" t="inlineStr">
        <is>
          <t>https://elcomercio.pe/tecnologia/moviles/comprar-celular-precios-osiptel-lanza-herramienta-para-comparar-costos-de-un-equipo-movil-smartphones-comparamovil-noticia/</t>
        </is>
      </c>
    </row>
    <row r="365" ht="28.05" customHeight="1">
      <c r="A365" s="15" t="n">
        <v>364</v>
      </c>
      <c r="B365" s="15" t="inlineStr">
        <is>
          <t>2022-04-20</t>
        </is>
      </c>
      <c r="C365" s="16" t="inlineStr">
        <is>
          <t>gestion.pe</t>
        </is>
      </c>
      <c r="D365" s="16" t="inlineStr">
        <is>
          <t>Alicorp</t>
        </is>
      </c>
      <c r="E365" s="17" t="inlineStr">
        <is>
          <t>Bolsa de Valores de Lima cierra con ganancias por impulso de sectores financiero y consumo</t>
        </is>
      </c>
      <c r="F365" s="19" t="inlineStr">
        <is>
          <t>Z_indice_bursatil</t>
        </is>
      </c>
      <c r="G365" s="19" t="n"/>
      <c r="H365" s="20" t="n"/>
      <c r="I365" s="19" t="n"/>
      <c r="J365" s="18" t="inlineStr">
        <is>
          <t>https://gestion.pe/economia/mercados/bolsa-de-valores-de-lima-cierra-con-ganancias-por-impulso-de-sectores-financiero-y-consumo-rmmn-noticia/</t>
        </is>
      </c>
    </row>
    <row r="366" ht="28.05" customHeight="1">
      <c r="A366" s="15" t="n">
        <v>365</v>
      </c>
      <c r="B366" s="15" t="inlineStr">
        <is>
          <t>2022-02-17</t>
        </is>
      </c>
      <c r="C366" s="16" t="inlineStr">
        <is>
          <t>elcomercio.pe</t>
        </is>
      </c>
      <c r="D366" s="16" t="inlineStr">
        <is>
          <t>Banco de Credito del Peru (BCP)</t>
        </is>
      </c>
      <c r="E366" s="17" t="inlineStr">
        <is>
          <t>Monedas latinoamericanas se beneficiarán de tasas y commodities</t>
        </is>
      </c>
      <c r="F366" s="19" t="inlineStr">
        <is>
          <t>Z_sector_macro</t>
        </is>
      </c>
      <c r="G366" s="19" t="n"/>
      <c r="H366" s="20" t="n"/>
      <c r="I366" s="19" t="n"/>
      <c r="J366" s="18" t="n"/>
    </row>
    <row r="367" ht="28.05" customHeight="1">
      <c r="A367" s="15" t="n">
        <v>366</v>
      </c>
      <c r="B367" s="15" t="inlineStr">
        <is>
          <t>2017-03-12</t>
        </is>
      </c>
      <c r="C367" s="16" t="inlineStr">
        <is>
          <t>elcomercio.pe</t>
        </is>
      </c>
      <c r="D367" s="16" t="inlineStr">
        <is>
          <t>Banco de Credito del Peru (BCP)</t>
        </is>
      </c>
      <c r="E367" s="17" t="inlineStr">
        <is>
          <t>El crecimiento de la economía chilena se congela en el 2017</t>
        </is>
      </c>
      <c r="F367" s="19" t="inlineStr">
        <is>
          <t>Z_sector_macro</t>
        </is>
      </c>
      <c r="G367" s="19" t="n"/>
      <c r="H367" s="20" t="n"/>
      <c r="I367" s="19" t="n"/>
      <c r="J367" s="18" t="inlineStr">
        <is>
          <t>http://elcomercio.pe/economia/mundo/crecimiento-economia-chilena-se-congela-2017-noticia-1975467</t>
        </is>
      </c>
    </row>
    <row r="368" ht="28.05" customHeight="1">
      <c r="A368" s="15" t="n">
        <v>367</v>
      </c>
      <c r="B368" s="15" t="inlineStr">
        <is>
          <t>2016-07-15</t>
        </is>
      </c>
      <c r="C368" s="16" t="inlineStr">
        <is>
          <t>elcomercio.pe</t>
        </is>
      </c>
      <c r="D368" s="16" t="inlineStr">
        <is>
          <t>Ferreycorp</t>
        </is>
      </c>
      <c r="E368" s="17" t="inlineStr">
        <is>
          <t>PPK: estos son los elegidos para su primer Gabinete Ministerial</t>
        </is>
      </c>
      <c r="F368" s="19" t="inlineStr">
        <is>
          <t>Z_no_relevante</t>
        </is>
      </c>
      <c r="G368" s="19" t="n"/>
      <c r="H368" s="20" t="n"/>
      <c r="I368" s="19" t="n"/>
      <c r="J368" s="18" t="inlineStr">
        <is>
          <t>http://elcomercio.pe/politica/gobierno/gabinete-ministerial-ppk-estos-son-ministros-gobierno-noticia-1916847</t>
        </is>
      </c>
    </row>
    <row r="369" ht="28.05" customHeight="1">
      <c r="A369" s="15" t="n">
        <v>368</v>
      </c>
      <c r="B369" s="15" t="inlineStr">
        <is>
          <t>2018-03-06</t>
        </is>
      </c>
      <c r="C369" s="16" t="inlineStr">
        <is>
          <t>larepublica.pe</t>
        </is>
      </c>
      <c r="D369" s="16" t="inlineStr">
        <is>
          <t>InRetail Peru Corp</t>
        </is>
      </c>
      <c r="E369" s="17" t="inlineStr">
        <is>
          <t>Estos son los 6 peruanos más ricos del mundo, según Forbes</t>
        </is>
      </c>
      <c r="F369" s="19" t="inlineStr">
        <is>
          <t>Z_mencion_incidental</t>
        </is>
      </c>
      <c r="G369" s="19" t="n"/>
      <c r="H369" s="20" t="n"/>
      <c r="I369" s="19" t="inlineStr">
        <is>
          <t>Ranking de millonarios.</t>
        </is>
      </c>
      <c r="J369" s="18" t="inlineStr">
        <is>
          <t>http://larepublica.pe/economia/1207496-estos-son-los-6-peruanos-mas-ricos-del-mundo-segun-forbes</t>
        </is>
      </c>
    </row>
    <row r="370" ht="28.05" customHeight="1">
      <c r="A370" s="15" t="n">
        <v>369</v>
      </c>
      <c r="B370" s="15" t="inlineStr">
        <is>
          <t>2025-09-01</t>
        </is>
      </c>
      <c r="C370" s="16" t="inlineStr">
        <is>
          <t>larepublica.pe</t>
        </is>
      </c>
      <c r="D370" s="16" t="inlineStr">
        <is>
          <t>InRetail Peru Corp</t>
        </is>
      </c>
      <c r="E370" s="17" t="inlineStr">
        <is>
          <t>Congreso debe aprobar por insistencia corrección a ley del ISC en apuestas online: riesgo de pérdida de S/100 millones</t>
        </is>
      </c>
      <c r="F370" s="19" t="inlineStr">
        <is>
          <t>Z_sector_macro</t>
        </is>
      </c>
      <c r="G370" s="19" t="n"/>
      <c r="H370" s="20" t="inlineStr">
        <is>
          <t>x</t>
        </is>
      </c>
      <c r="I370" s="19" t="inlineStr">
        <is>
          <t>ISC a apuestas online, fuera del negocio de InRetail.</t>
        </is>
      </c>
      <c r="J370" s="18" t="inlineStr">
        <is>
          <t>https://larepublica.pe/economia/2025/09/01/congreso-debe-aprobar-por-insistencia-correccion-a-ley-del-isc-en-apuestas-online-riesgo-de-perdida-de-s100-millones-hnews-20658</t>
        </is>
      </c>
    </row>
    <row r="371" ht="28.05" customHeight="1">
      <c r="A371" s="15" t="n">
        <v>370</v>
      </c>
      <c r="B371" s="15" t="inlineStr">
        <is>
          <t>2021-06-01</t>
        </is>
      </c>
      <c r="C371" s="16" t="inlineStr">
        <is>
          <t>gestion.pe</t>
        </is>
      </c>
      <c r="D371" s="16" t="inlineStr">
        <is>
          <t>Aceros Arequipa</t>
        </is>
      </c>
      <c r="E371" s="17" t="inlineStr">
        <is>
          <t>Bolsa de Lima cerró en rojo por caída de acciones de sectores industria y construcción</t>
        </is>
      </c>
      <c r="F371" s="19" t="inlineStr">
        <is>
          <t>Z_indice_bursatil</t>
        </is>
      </c>
      <c r="G371" s="19" t="n"/>
      <c r="H371" s="20" t="n"/>
      <c r="I371" s="19" t="n"/>
      <c r="J371" s="18" t="n"/>
    </row>
    <row r="372" ht="28.05" customHeight="1">
      <c r="A372" s="15" t="n">
        <v>371</v>
      </c>
      <c r="B372" s="15" t="inlineStr">
        <is>
          <t>2014-09-02</t>
        </is>
      </c>
      <c r="C372" s="16" t="inlineStr">
        <is>
          <t>elcomercio.pe</t>
        </is>
      </c>
      <c r="D372" s="16" t="inlineStr">
        <is>
          <t>Banco de Credito del Peru (BCP)</t>
        </is>
      </c>
      <c r="E372" s="17" t="inlineStr">
        <is>
          <t>BCP: 70 mil operaciones de adelanto de sueldo se hacen al mes</t>
        </is>
      </c>
      <c r="F372" s="19" t="inlineStr">
        <is>
          <t>B_operacional</t>
        </is>
      </c>
      <c r="G372" s="19" t="inlineStr">
        <is>
          <t>neutral</t>
        </is>
      </c>
      <c r="H372" s="20" t="inlineStr">
        <is>
          <t>x</t>
        </is>
      </c>
      <c r="I372" s="19" t="inlineStr">
        <is>
          <t>Volumen de un producto del BCP. Alternativa: Z_marketing_promocion.</t>
        </is>
      </c>
      <c r="J372" s="18" t="inlineStr">
        <is>
          <t>http://elcomercio.pe/economia/peru/bcp-70-mil-operaciones-adelanto-sueldo-se-hacen-al-mes-noticia-1754207</t>
        </is>
      </c>
    </row>
    <row r="373" ht="28.05" customHeight="1">
      <c r="A373" s="15" t="n">
        <v>372</v>
      </c>
      <c r="B373" s="15" t="inlineStr">
        <is>
          <t>2020-07-22</t>
        </is>
      </c>
      <c r="C373" s="16" t="inlineStr">
        <is>
          <t>elcomercio.pe</t>
        </is>
      </c>
      <c r="D373" s="16" t="inlineStr">
        <is>
          <t>InRetail Peru Corp</t>
        </is>
      </c>
      <c r="E373" s="17" t="inlineStr">
        <is>
          <t>Negocios: Saga Falabella, Tottus, Plaza Vea, Promart, Coolbox y Oechsle piden di</t>
        </is>
      </c>
      <c r="F373" s="19" t="inlineStr">
        <is>
          <t>Z_sector_macro</t>
        </is>
      </c>
      <c r="G373" s="19" t="n"/>
      <c r="H373" s="20" t="inlineStr">
        <is>
          <t>x</t>
        </is>
      </c>
      <c r="I373" s="19" t="inlineStr">
        <is>
          <t>Pedido gremial de varios retailers, uno de ellos del grupo. Titular truncado.</t>
        </is>
      </c>
      <c r="J373" s="18" t="inlineStr">
        <is>
          <t>https://elcomercio.pe/economia/negocios/saga-falabella-tottus-plaza-vea-promart-coolbox-y-oechsle-piden-disculpas-por-retrasos-en-entrega-de-productos-nndc-noticia/</t>
        </is>
      </c>
    </row>
    <row r="374" ht="28.05" customHeight="1">
      <c r="A374" s="15" t="n">
        <v>373</v>
      </c>
      <c r="B374" s="15" t="inlineStr">
        <is>
          <t>2017-07-19</t>
        </is>
      </c>
      <c r="C374" s="16" t="inlineStr">
        <is>
          <t>gestion.pe</t>
        </is>
      </c>
      <c r="D374" s="16" t="inlineStr">
        <is>
          <t>Banco de Credito del Peru (BCP)</t>
        </is>
      </c>
      <c r="E374" s="17" t="inlineStr">
        <is>
          <t>Banco Ripley realiza nueva colocación de bonos corporativos por S/ 50 millones</t>
        </is>
      </c>
      <c r="F374" s="19" t="inlineStr">
        <is>
          <t>Z_sector_macro</t>
        </is>
      </c>
      <c r="G374" s="19" t="n"/>
      <c r="H374" s="20" t="n"/>
      <c r="I374" s="19" t="inlineStr">
        <is>
          <t>Emision de bonos de un competidor.</t>
        </is>
      </c>
      <c r="J374" s="18" t="inlineStr">
        <is>
          <t>http://gestion.pe/mercados/banco-ripley-realiza-nueva-colocacion-bonos-corporativos-s-50-millones-2195489</t>
        </is>
      </c>
    </row>
    <row r="375" ht="28.05" customHeight="1">
      <c r="A375" s="15" t="n">
        <v>374</v>
      </c>
      <c r="B375" s="15" t="inlineStr">
        <is>
          <t>2020-12-25</t>
        </is>
      </c>
      <c r="C375" s="16" t="inlineStr">
        <is>
          <t>larepublica.pe</t>
        </is>
      </c>
      <c r="D375" s="16" t="inlineStr">
        <is>
          <t>Ferreycorp</t>
        </is>
      </c>
      <c r="E375" s="17" t="inlineStr">
        <is>
          <t>Pepe Soto y la legión de jóvenes que integran la plantilla de Juan Aurich</t>
        </is>
      </c>
      <c r="F375" s="19" t="inlineStr">
        <is>
          <t>Z_no_relevante</t>
        </is>
      </c>
      <c r="G375" s="19" t="n"/>
      <c r="H375" s="20" t="n"/>
      <c r="I375" s="19" t="n"/>
      <c r="J375" s="18" t="inlineStr">
        <is>
          <t>https://larepublica.pe/deportes/2020/12/25/pepe-soto-y-la-legion-de-jovenes-que-integran-la-plantilla-de-juan-aurich-lrnd/</t>
        </is>
      </c>
    </row>
    <row r="376" ht="28.05" customHeight="1">
      <c r="A376" s="15" t="n">
        <v>375</v>
      </c>
      <c r="B376" s="15" t="inlineStr">
        <is>
          <t>2017-05-05</t>
        </is>
      </c>
      <c r="C376" s="16" t="inlineStr">
        <is>
          <t>elcomercio.pe</t>
        </is>
      </c>
      <c r="D376" s="16" t="inlineStr">
        <is>
          <t>Ferreycorp</t>
        </is>
      </c>
      <c r="E376" s="17" t="inlineStr">
        <is>
          <t>BVL cierra al alza por impulso de acciones mineras</t>
        </is>
      </c>
      <c r="F376" s="19" t="inlineStr">
        <is>
          <t>Z_indice_bursatil</t>
        </is>
      </c>
      <c r="G376" s="19" t="n"/>
      <c r="H376" s="20" t="n"/>
      <c r="I376" s="19" t="n"/>
      <c r="J376" s="18" t="inlineStr">
        <is>
          <t>http://elcomercio.pe/economia/mercados/bvl-cierra-al-alza-impulso-acciones-mineras-noticia-1989526</t>
        </is>
      </c>
    </row>
    <row r="377" ht="28.05" customHeight="1">
      <c r="A377" s="15" t="n">
        <v>376</v>
      </c>
      <c r="B377" s="15" t="inlineStr">
        <is>
          <t>2023-01-18</t>
        </is>
      </c>
      <c r="C377" s="16" t="inlineStr">
        <is>
          <t>gestion.pe</t>
        </is>
      </c>
      <c r="D377" s="16" t="inlineStr">
        <is>
          <t>Minsur</t>
        </is>
      </c>
      <c r="E377" s="17" t="inlineStr">
        <is>
          <t>BVL cierra al alza ante temores por la estabilidad de la economía estadounidense</t>
        </is>
      </c>
      <c r="F377" s="19" t="inlineStr">
        <is>
          <t>Z_indice_bursatil</t>
        </is>
      </c>
      <c r="G377" s="19" t="n"/>
      <c r="H377" s="20" t="n"/>
      <c r="I377" s="19" t="n"/>
      <c r="J377" s="18" t="inlineStr">
        <is>
          <t>https://gestion.pe/economia/mercados/bvl-cierra-al-alza-ante-temores-por-la-estabilidad-de-la-economia-estadounidense-noticia/</t>
        </is>
      </c>
    </row>
    <row r="378" ht="28.05" customHeight="1">
      <c r="A378" s="15" t="n">
        <v>377</v>
      </c>
      <c r="B378" s="15" t="inlineStr">
        <is>
          <t>2017-09-17</t>
        </is>
      </c>
      <c r="C378" s="16" t="inlineStr">
        <is>
          <t>gestion.pe</t>
        </is>
      </c>
      <c r="D378" s="16" t="inlineStr">
        <is>
          <t>Alicorp</t>
        </is>
      </c>
      <c r="E378" s="17" t="inlineStr">
        <is>
          <t>FutureBrand ve oportunidades en los productos calificados como 'commodities' en el Perú</t>
        </is>
      </c>
      <c r="F378" s="19" t="inlineStr">
        <is>
          <t>Z_sector_macro</t>
        </is>
      </c>
      <c r="G378" s="19" t="n"/>
      <c r="H378" s="20" t="n"/>
      <c r="I378" s="19" t="n"/>
      <c r="J378" s="18" t="inlineStr">
        <is>
          <t>http://gestion.pe/empresas/futurebrand-ve-oportunidades-productos-calificados-como-commodities-peru-2200058</t>
        </is>
      </c>
    </row>
    <row r="379" ht="28.05" customHeight="1">
      <c r="A379" s="15" t="n">
        <v>378</v>
      </c>
      <c r="B379" s="15" t="inlineStr">
        <is>
          <t>2021-08-24</t>
        </is>
      </c>
      <c r="C379" s="16" t="inlineStr">
        <is>
          <t>gestion.pe</t>
        </is>
      </c>
      <c r="D379" s="16" t="inlineStr">
        <is>
          <t>Alicorp</t>
        </is>
      </c>
      <c r="E379" s="17" t="inlineStr">
        <is>
          <t>Empresas en Perú siguen apostando por inversiones pese a coyuntura adversa, indica Renta 4</t>
        </is>
      </c>
      <c r="F379" s="19" t="inlineStr">
        <is>
          <t>Z_sector_macro</t>
        </is>
      </c>
      <c r="G379" s="19" t="n"/>
      <c r="H379" s="20" t="n"/>
      <c r="I379" s="19" t="n"/>
      <c r="J379" s="18" t="inlineStr">
        <is>
          <t>https://gestion.pe/economia/empresas-en-peru-siguen-apostando-por-inversiones-pese-a-coyuntura-adversa-indica-renta-4-nndc-noticia/</t>
        </is>
      </c>
    </row>
    <row r="380" ht="28.05" customHeight="1">
      <c r="A380" s="15" t="n">
        <v>379</v>
      </c>
      <c r="B380" s="15" t="inlineStr">
        <is>
          <t>2018-06-08</t>
        </is>
      </c>
      <c r="C380" s="16" t="inlineStr">
        <is>
          <t>elcomercio.pe</t>
        </is>
      </c>
      <c r="D380" s="16" t="inlineStr">
        <is>
          <t>Alicorp</t>
        </is>
      </c>
      <c r="E380" s="17" t="inlineStr">
        <is>
          <t>Bolsa de Valores inicia la jornada con indicadores en rojo</t>
        </is>
      </c>
      <c r="F380" s="19" t="inlineStr">
        <is>
          <t>Z_indice_bursatil</t>
        </is>
      </c>
      <c r="G380" s="19" t="n"/>
      <c r="H380" s="20" t="n"/>
      <c r="I380" s="19" t="n"/>
      <c r="J380" s="18" t="inlineStr">
        <is>
          <t>http://elcomercio.pe/economia/mercados/bolsa-valores-inicia-jornada-indicadores-rojo-noticia-526249</t>
        </is>
      </c>
    </row>
    <row r="381" ht="28.05" customHeight="1">
      <c r="A381" s="15" t="n">
        <v>380</v>
      </c>
      <c r="B381" s="15" t="inlineStr">
        <is>
          <t>2025-08-24</t>
        </is>
      </c>
      <c r="C381" s="16" t="inlineStr">
        <is>
          <t>larepublica.pe</t>
        </is>
      </c>
      <c r="D381" s="16" t="inlineStr">
        <is>
          <t>Aceros Arequipa</t>
        </is>
      </c>
      <c r="E381" s="17" t="inlineStr">
        <is>
          <t>Olimpiada Nacional de Matemáticas 2025: casi 100 mil escolares participaron en todo el Perú</t>
        </is>
      </c>
      <c r="F381" s="19" t="inlineStr">
        <is>
          <t>Z_patrocinio_rse</t>
        </is>
      </c>
      <c r="G381" s="19" t="n"/>
      <c r="H381" s="20" t="n"/>
      <c r="I381" s="19" t="inlineStr">
        <is>
          <t>Olimpiada escolar organizada por la empresa.</t>
        </is>
      </c>
      <c r="J381" s="18" t="n"/>
    </row>
    <row r="382" ht="28.05" customHeight="1">
      <c r="A382" s="15" t="n">
        <v>381</v>
      </c>
      <c r="B382" s="15" t="inlineStr">
        <is>
          <t>2022-11-08</t>
        </is>
      </c>
      <c r="C382" s="16" t="inlineStr">
        <is>
          <t>larepublica.pe</t>
        </is>
      </c>
      <c r="D382" s="16" t="inlineStr">
        <is>
          <t>Alicorp</t>
        </is>
      </c>
      <c r="E382" s="17" t="inlineStr">
        <is>
          <t>Marino Flores: “Elegimos a Castillo para que haga cambios y si no los hace, está cavando su propia tumba”</t>
        </is>
      </c>
      <c r="F382" s="19" t="inlineStr">
        <is>
          <t>Z_no_relevante</t>
        </is>
      </c>
      <c r="G382" s="19" t="n"/>
      <c r="H382" s="20" t="n"/>
      <c r="I382" s="19" t="n"/>
      <c r="J382" s="18" t="inlineStr">
        <is>
          <t>https://larepublica.pe/politica/actualidad/2022/11/08/marino-flores-elegimos-a-pedro-castillo-para-que-haga-cambios-y-si-no-los-hace-esta-cavando-su-propia-tumba-congreso-midagri-midis/</t>
        </is>
      </c>
    </row>
    <row r="383" ht="28.05" customHeight="1">
      <c r="A383" s="15" t="n">
        <v>382</v>
      </c>
      <c r="B383" s="15" t="inlineStr">
        <is>
          <t>2014-05-20</t>
        </is>
      </c>
      <c r="C383" s="16" t="inlineStr">
        <is>
          <t>larepublica.pe</t>
        </is>
      </c>
      <c r="D383" s="16" t="inlineStr">
        <is>
          <t>Minsur</t>
        </is>
      </c>
      <c r="E383" s="17" t="inlineStr">
        <is>
          <t>Alcalde chileno denuncia presunto daño ambiental de mina tacneña Pucamarca</t>
        </is>
      </c>
      <c r="F383" s="19" t="inlineStr">
        <is>
          <t>A_crisis_evento_adverso</t>
        </is>
      </c>
      <c r="G383" s="19" t="inlineStr">
        <is>
          <t>negativo</t>
        </is>
      </c>
      <c r="H383" s="20" t="n"/>
      <c r="I383" s="19" t="inlineStr">
        <is>
          <t>Denuncia ambiental contra Pucamarca, mina de Minsur.</t>
        </is>
      </c>
      <c r="J383" s="18" t="inlineStr">
        <is>
          <t>http://www.larepublica.pe/20-05-2014/alcalde-chileno-denuncia-presunto-dano-ambiental-de-mina-tacnena-pucamarca</t>
        </is>
      </c>
    </row>
    <row r="384" ht="28.05" customHeight="1">
      <c r="A384" s="15" t="n">
        <v>383</v>
      </c>
      <c r="B384" s="15" t="inlineStr">
        <is>
          <t>2025-01-15</t>
        </is>
      </c>
      <c r="C384" s="16" t="inlineStr">
        <is>
          <t>gestion.pe</t>
        </is>
      </c>
      <c r="D384" s="16" t="inlineStr">
        <is>
          <t>Aceros Arequipa</t>
        </is>
      </c>
      <c r="E384" s="17" t="inlineStr">
        <is>
          <t>Metalpren prevé cambios en planta de Cercado de Lima: más producción de tapas</t>
        </is>
      </c>
      <c r="F384" s="19" t="inlineStr">
        <is>
          <t>Z_sector_macro</t>
        </is>
      </c>
      <c r="G384" s="19" t="n"/>
      <c r="H384" s="20" t="n"/>
      <c r="I384" s="19" t="inlineStr">
        <is>
          <t>Planta de otra empresa del rubro metalmecanico.</t>
        </is>
      </c>
      <c r="J384" s="18" t="n"/>
    </row>
    <row r="385" ht="28.05" customHeight="1">
      <c r="A385" s="15" t="n">
        <v>384</v>
      </c>
      <c r="B385" s="15" t="inlineStr">
        <is>
          <t>2022-09-22</t>
        </is>
      </c>
      <c r="C385" s="16" t="inlineStr">
        <is>
          <t>elcomercio.pe</t>
        </is>
      </c>
      <c r="D385" s="16" t="inlineStr">
        <is>
          <t>Ferreycorp</t>
        </is>
      </c>
      <c r="E385" s="17" t="inlineStr">
        <is>
          <t>Senati: Cuánto cuesta estudiar una carrera técnica en el 2022</t>
        </is>
      </c>
      <c r="F385" s="19" t="inlineStr">
        <is>
          <t>Z_no_relevante</t>
        </is>
      </c>
      <c r="G385" s="19" t="n"/>
      <c r="H385" s="20" t="n"/>
      <c r="I385" s="19" t="n"/>
      <c r="J385" s="18" t="inlineStr">
        <is>
          <t>https://elcomercio.pe/respuestas/senati-cuanto-cuesta-estudiar-una-carrera-tecnica-en-el-2022-institucion-educativa-pensiones-tdex-revtli-noticia/</t>
        </is>
      </c>
    </row>
    <row r="386" ht="28.05" customHeight="1">
      <c r="A386" s="15" t="n">
        <v>385</v>
      </c>
      <c r="B386" s="15" t="inlineStr">
        <is>
          <t>2023-11-27</t>
        </is>
      </c>
      <c r="C386" s="16" t="inlineStr">
        <is>
          <t>elcomercio.pe</t>
        </is>
      </c>
      <c r="D386" s="16" t="inlineStr">
        <is>
          <t>InRetail Peru Corp</t>
        </is>
      </c>
      <c r="E386" s="17" t="inlineStr">
        <is>
          <t>Intercorp: “Apostamos por las OxI para impulsar nuestros ejes de sostenibilidad”</t>
        </is>
      </c>
      <c r="F386" s="19" t="inlineStr">
        <is>
          <t>B_estrategia_inversion</t>
        </is>
      </c>
      <c r="G386" s="19" t="inlineStr">
        <is>
          <t>neutral</t>
        </is>
      </c>
      <c r="H386" s="20" t="n"/>
      <c r="I386" s="19" t="inlineStr">
        <is>
          <t>Obras por Impuestos = despliegue de capital contra obligacion tributaria, no filantropia. Reclasificada desde Z_patrocinio_rse a pedido del usuario; coherente con la fila 200.</t>
        </is>
      </c>
      <c r="J386" s="18" t="inlineStr">
        <is>
          <t>https://elcomercio.pe/economia/dia-1/intercorp-apostamos-por-las-oxi-para-impulsar-nuestros-ejes-de-sostenibilidad-entrevista-lia-celi-banca-obras-por-impuestos-noticia/</t>
        </is>
      </c>
    </row>
    <row r="387" ht="28.05" customHeight="1">
      <c r="A387" s="15" t="n">
        <v>386</v>
      </c>
      <c r="B387" s="15" t="inlineStr">
        <is>
          <t>2018-01-17</t>
        </is>
      </c>
      <c r="C387" s="16" t="inlineStr">
        <is>
          <t>gestion.pe</t>
        </is>
      </c>
      <c r="D387" s="16" t="inlineStr">
        <is>
          <t>Alicorp</t>
        </is>
      </c>
      <c r="E387" s="17" t="inlineStr">
        <is>
          <t>BVL cierra con leve baja por toma de ganancias de papeles de consumo y mineros</t>
        </is>
      </c>
      <c r="F387" s="19" t="inlineStr">
        <is>
          <t>Z_indice_bursatil</t>
        </is>
      </c>
      <c r="G387" s="19" t="n"/>
      <c r="H387" s="20" t="n"/>
      <c r="I387" s="19" t="n"/>
      <c r="J387" s="18" t="inlineStr">
        <is>
          <t>http://gestion.pe/economia/bvl-cierra-leve-baja-toma-ganancias-papeles-consumo-mineros-225153</t>
        </is>
      </c>
    </row>
    <row r="388" ht="28.05" customHeight="1">
      <c r="A388" s="15" t="n">
        <v>387</v>
      </c>
      <c r="B388" s="15" t="inlineStr">
        <is>
          <t>2025-01-14</t>
        </is>
      </c>
      <c r="C388" s="16" t="inlineStr">
        <is>
          <t>gestion.pe</t>
        </is>
      </c>
      <c r="D388" s="16" t="inlineStr">
        <is>
          <t>Compania de Minas Buenaventura</t>
        </is>
      </c>
      <c r="E388" s="17" t="inlineStr">
        <is>
          <t>Los proyectos mineros de 2025: un nuevo impulso con Tía María y Zafranal</t>
        </is>
      </c>
      <c r="F388" s="19" t="inlineStr">
        <is>
          <t>Z_sector_macro</t>
        </is>
      </c>
      <c r="G388" s="19" t="n"/>
      <c r="H388" s="20" t="n"/>
      <c r="I388" s="19" t="inlineStr">
        <is>
          <t>Cartera de proyectos mineros del pais.</t>
        </is>
      </c>
      <c r="J388" s="18" t="n"/>
    </row>
    <row r="389" ht="28.05" customHeight="1">
      <c r="A389" s="15" t="n">
        <v>388</v>
      </c>
      <c r="B389" s="15" t="inlineStr">
        <is>
          <t>2018-08-24</t>
        </is>
      </c>
      <c r="C389" s="16" t="inlineStr">
        <is>
          <t>elcomercio.pe</t>
        </is>
      </c>
      <c r="D389" s="16" t="inlineStr">
        <is>
          <t>Minsur</t>
        </is>
      </c>
      <c r="E389" s="17" t="inlineStr">
        <is>
          <t>Bolsa de Lima abre al alza empujada por acciones mineras</t>
        </is>
      </c>
      <c r="F389" s="19" t="inlineStr">
        <is>
          <t>Z_indice_bursatil</t>
        </is>
      </c>
      <c r="G389" s="19" t="n"/>
      <c r="H389" s="20" t="n"/>
      <c r="I389" s="19" t="n"/>
      <c r="J389" s="18" t="inlineStr">
        <is>
          <t>http://elcomercio.pe/economia/mercados/bolsa-lima-abre-alza-empujada-acciones-mineras-noticia-nndc-550217</t>
        </is>
      </c>
    </row>
    <row r="390" ht="28.05" customHeight="1">
      <c r="A390" s="15" t="n">
        <v>389</v>
      </c>
      <c r="B390" s="15" t="inlineStr">
        <is>
          <t>2024-01-21</t>
        </is>
      </c>
      <c r="C390" s="16" t="inlineStr">
        <is>
          <t>larepublica.pe</t>
        </is>
      </c>
      <c r="D390" s="16" t="inlineStr">
        <is>
          <t>Banco de Credito del Peru (BCP)</t>
        </is>
      </c>
      <c r="E390" s="17" t="inlineStr">
        <is>
          <t>Precio del dólar hoy en Perú: ¿en cuánto cerró el tipo de cambio este lunes 22 de enero?</t>
        </is>
      </c>
      <c r="F390" s="19" t="inlineStr">
        <is>
          <t>Z_mencion_incidental</t>
        </is>
      </c>
      <c r="G390" s="19" t="n"/>
      <c r="H390" s="20" t="n"/>
      <c r="I390" s="19" t="inlineStr">
        <is>
          <t>Tipo de cambio.</t>
        </is>
      </c>
      <c r="J390" s="18" t="inlineStr">
        <is>
          <t>https://larepublica.pe/economia/precio-del-dolar/2024/01/21/tipo-de-cambio-y-cotizacion-del-dolar-en-peru-segun-bcrp-cual-es-valor-del-dolar-en-soles-para-compra-y-venta-sbs-bcr-sunat-atmp-1244420</t>
        </is>
      </c>
    </row>
    <row r="391" ht="28.05" customHeight="1">
      <c r="A391" s="15" t="n">
        <v>390</v>
      </c>
      <c r="B391" s="15" t="inlineStr">
        <is>
          <t>2023-01-10</t>
        </is>
      </c>
      <c r="C391" s="16" t="inlineStr">
        <is>
          <t>gestion.pe</t>
        </is>
      </c>
      <c r="D391" s="16" t="inlineStr">
        <is>
          <t>Cementos Pacasmayo</t>
        </is>
      </c>
      <c r="E391" s="17" t="inlineStr">
        <is>
          <t>BVL | inversionistas | accione peruanas | mercado bursátil | Perú | fintech | trii | inversionista retail |Jóvenes que empezaron con S/ 10 en la BVL ahora apuestan hasta cinco veces más | TU-DINERO</t>
        </is>
      </c>
      <c r="F391" s="19" t="inlineStr">
        <is>
          <t>Z_indice_bursatil</t>
        </is>
      </c>
      <c r="G391" s="19" t="n"/>
      <c r="H391" s="20" t="n"/>
      <c r="I391" s="19" t="inlineStr">
        <is>
          <t>Inversionistas minoristas en la BVL.</t>
        </is>
      </c>
      <c r="J391" s="18" t="inlineStr">
        <is>
          <t>https://gestion.pe/tu-dinero/bvl-inversionistas-accione-peruanas-mercado-bursatil-peru-fintech-trii-inversionista-retail-jovenes-que-empezaron-con-s-10-en-la-bvl-ahora-apuestan-hasta-cinco-veces-mas-noticia/</t>
        </is>
      </c>
    </row>
    <row r="392" ht="28.05" customHeight="1">
      <c r="A392" s="15" t="n">
        <v>391</v>
      </c>
      <c r="B392" s="15" t="inlineStr">
        <is>
          <t>2019-10-15</t>
        </is>
      </c>
      <c r="C392" s="16" t="inlineStr">
        <is>
          <t>gestion.pe</t>
        </is>
      </c>
      <c r="D392" s="16" t="inlineStr">
        <is>
          <t>Luz del Sur</t>
        </is>
      </c>
      <c r="E392" s="17" t="inlineStr">
        <is>
          <t>China Three Gorges Corporation oficializa compra de Luz del Sur a Sempra</t>
        </is>
      </c>
      <c r="F392" s="19" t="inlineStr">
        <is>
          <t>A_ma_reestructuracion</t>
        </is>
      </c>
      <c r="G392" s="19" t="inlineStr">
        <is>
          <t>neutral</t>
        </is>
      </c>
      <c r="H392" s="20" t="n"/>
      <c r="I392" s="19" t="inlineStr">
        <is>
          <t>China Three Gorges oficializa la compra de Luz del Sur.</t>
        </is>
      </c>
      <c r="J392" s="18" t="inlineStr">
        <is>
          <t>https://gestion.pe/economia/luz-del-sur-china-three-gorges-corporation-oficializa-compra-de-luz-del-sur-a-sempra-noticia/</t>
        </is>
      </c>
    </row>
    <row r="393" ht="28.05" customHeight="1">
      <c r="A393" s="15" t="n">
        <v>392</v>
      </c>
      <c r="B393" s="15" t="inlineStr">
        <is>
          <t>2018-01-06</t>
        </is>
      </c>
      <c r="C393" s="16" t="inlineStr">
        <is>
          <t>elcomercio.pe</t>
        </is>
      </c>
      <c r="D393" s="16" t="inlineStr">
        <is>
          <t>Ferreycorp</t>
        </is>
      </c>
      <c r="E393" s="17" t="inlineStr">
        <is>
          <t>Dakar 2018: PPK reapareció en partida simbólica [FOTOS]</t>
        </is>
      </c>
      <c r="F393" s="19" t="inlineStr">
        <is>
          <t>Z_no_relevante</t>
        </is>
      </c>
      <c r="G393" s="19" t="n"/>
      <c r="H393" s="20" t="n"/>
      <c r="I393" s="19" t="n"/>
      <c r="J393" s="18" t="inlineStr">
        <is>
          <t>http://elcomercio.pe/politica/dakar-2018-ppk-reaparecio-partida-simbolica-fotos-noticia-486908</t>
        </is>
      </c>
    </row>
    <row r="394" ht="28.05" customHeight="1">
      <c r="A394" s="15" t="n">
        <v>393</v>
      </c>
      <c r="B394" s="15" t="inlineStr">
        <is>
          <t>2018-04-26</t>
        </is>
      </c>
      <c r="C394" s="16" t="inlineStr">
        <is>
          <t>elcomercio.pe</t>
        </is>
      </c>
      <c r="D394" s="16" t="inlineStr">
        <is>
          <t>Banco de Credito del Peru (BCP)</t>
        </is>
      </c>
      <c r="E394" s="17" t="inlineStr">
        <is>
          <t>Estas son las diez marcas más valiosas en el Perú</t>
        </is>
      </c>
      <c r="F394" s="19" t="inlineStr">
        <is>
          <t>Z_mencion_incidental</t>
        </is>
      </c>
      <c r="G394" s="19" t="n"/>
      <c r="H394" s="20" t="n"/>
      <c r="I394" s="19" t="inlineStr">
        <is>
          <t>Ranking de marcas.</t>
        </is>
      </c>
      <c r="J394" s="18" t="inlineStr">
        <is>
          <t>http://elcomercio.pe/economia/son-diez-marcas-valiosas-peru-noticia-515053</t>
        </is>
      </c>
    </row>
    <row r="395" ht="28.05" customHeight="1">
      <c r="A395" s="15" t="n">
        <v>394</v>
      </c>
      <c r="B395" s="15" t="inlineStr">
        <is>
          <t>2014-11-27</t>
        </is>
      </c>
      <c r="C395" s="16" t="inlineStr">
        <is>
          <t>gestion.pe</t>
        </is>
      </c>
      <c r="D395" s="16" t="inlineStr">
        <is>
          <t>InRetail Peru Corp</t>
        </is>
      </c>
      <c r="E395" s="17" t="inlineStr">
        <is>
          <t>Produce y sector privado promoverán consumo de pescado y pota</t>
        </is>
      </c>
      <c r="F395" s="19" t="inlineStr">
        <is>
          <t>Z_sector_macro</t>
        </is>
      </c>
      <c r="G395" s="19" t="n"/>
      <c r="H395" s="20" t="n"/>
      <c r="I395" s="19" t="n"/>
      <c r="J395" s="18" t="inlineStr">
        <is>
          <t>http://gestion.pe/economia/produce-y-sector-privado-promoveran-consumo-pescado-y-pota-2115285</t>
        </is>
      </c>
    </row>
    <row r="396" ht="28.05" customHeight="1">
      <c r="A396" s="15" t="n">
        <v>395</v>
      </c>
      <c r="B396" s="15" t="inlineStr">
        <is>
          <t>2018-08-18</t>
        </is>
      </c>
      <c r="C396" s="16" t="inlineStr">
        <is>
          <t>gestion.pe</t>
        </is>
      </c>
      <c r="D396" s="16" t="inlineStr">
        <is>
          <t>InRetail Peru Corp</t>
        </is>
      </c>
      <c r="E396" s="17" t="inlineStr">
        <is>
          <t>Supermercados Peruanos tendrá cuatro tiendas “cash and carry” a fines de año</t>
        </is>
      </c>
      <c r="F396" s="19" t="inlineStr">
        <is>
          <t>B_estrategia_inversion</t>
        </is>
      </c>
      <c r="G396" s="19" t="inlineStr">
        <is>
          <t>positivo</t>
        </is>
      </c>
      <c r="H396" s="20" t="n"/>
      <c r="I396" s="19" t="inlineStr">
        <is>
          <t>Supermercados Peruanos es de InRetail: apertura de formato cash and carry.</t>
        </is>
      </c>
      <c r="J396" s="18" t="inlineStr">
        <is>
          <t>http://gestion.pe/economia/empresas/supermercados-peruanos-tendra-cuatro-tiendas-cash-and-carry-fines-ano-241863</t>
        </is>
      </c>
    </row>
    <row r="397" ht="28.05" customHeight="1">
      <c r="A397" s="15" t="n">
        <v>396</v>
      </c>
      <c r="B397" s="15" t="inlineStr">
        <is>
          <t>2017-06-28</t>
        </is>
      </c>
      <c r="C397" s="16" t="inlineStr">
        <is>
          <t>elcomercio.pe</t>
        </is>
      </c>
      <c r="D397" s="16" t="inlineStr">
        <is>
          <t>Minsur</t>
        </is>
      </c>
      <c r="E397" s="17" t="inlineStr">
        <is>
          <t>Scotiabank: ¿Por qué se recortó perspectivas de producción local de cobre?</t>
        </is>
      </c>
      <c r="F397" s="19" t="inlineStr">
        <is>
          <t>Z_sector_macro</t>
        </is>
      </c>
      <c r="G397" s="19" t="n"/>
      <c r="H397" s="20" t="n"/>
      <c r="I397" s="19" t="inlineStr">
        <is>
          <t>Perspectivas de produccion de cobre.</t>
        </is>
      </c>
      <c r="J397" s="18" t="inlineStr">
        <is>
          <t>http://elcomercio.pe/economia/peru/scotiabank-recorto-perspectivas-produccion-local-cobre-437702</t>
        </is>
      </c>
    </row>
    <row r="398" ht="28.05" customHeight="1">
      <c r="A398" s="15" t="n">
        <v>397</v>
      </c>
      <c r="B398" s="15" t="inlineStr">
        <is>
          <t>2024-02-21</t>
        </is>
      </c>
      <c r="C398" s="16" t="inlineStr">
        <is>
          <t>gestion.pe</t>
        </is>
      </c>
      <c r="D398" s="16" t="inlineStr">
        <is>
          <t>InRetail Peru Corp</t>
        </is>
      </c>
      <c r="E398" s="17" t="inlineStr">
        <is>
          <t>Tiendas de descuento ya pesan 10% en canal moderno, ¿más aperturas a la vista?</t>
        </is>
      </c>
      <c r="F398" s="19" t="inlineStr">
        <is>
          <t>Z_sector_macro</t>
        </is>
      </c>
      <c r="G398" s="19" t="n"/>
      <c r="H398" s="20" t="inlineStr">
        <is>
          <t>x</t>
        </is>
      </c>
      <c r="I398" s="19" t="inlineStr">
        <is>
          <t>Peso de las tiendas de descuento, donde compite con Mass.</t>
        </is>
      </c>
      <c r="J398" s="18" t="inlineStr">
        <is>
          <t>https://gestion.pe/economia/empresas/tiendas-de-descuento-ya-pesan-10-en-canal-moderno-mas-aperturas-a-la-vista-supermercados-tiendas-de-conveniencia-mayoristas-alimentos-canal-moderno-noticia/</t>
        </is>
      </c>
    </row>
    <row r="399" ht="28.05" customHeight="1">
      <c r="A399" s="15" t="n">
        <v>398</v>
      </c>
      <c r="B399" s="15" t="inlineStr">
        <is>
          <t>2022-11-15</t>
        </is>
      </c>
      <c r="C399" s="16" t="inlineStr">
        <is>
          <t>elcomercio.pe</t>
        </is>
      </c>
      <c r="D399" s="16" t="inlineStr">
        <is>
          <t>Aceros Arequipa</t>
        </is>
      </c>
      <c r="E399" s="17" t="inlineStr">
        <is>
          <t>Bolsa de Valores de Lima cierra a la baja tras expectativas de un endurecimiento de la política monetaria en EE.UU.</t>
        </is>
      </c>
      <c r="F399" s="19" t="inlineStr">
        <is>
          <t>Z_indice_bursatil</t>
        </is>
      </c>
      <c r="G399" s="19" t="n"/>
      <c r="H399" s="20" t="n"/>
      <c r="I399" s="19" t="n"/>
      <c r="J399" s="18" t="n"/>
    </row>
    <row r="400" ht="28.05" customHeight="1">
      <c r="A400" s="15" t="n">
        <v>399</v>
      </c>
      <c r="B400" s="15" t="inlineStr">
        <is>
          <t>2023-04-11</t>
        </is>
      </c>
      <c r="C400" s="16" t="inlineStr">
        <is>
          <t>elcomercio.pe</t>
        </is>
      </c>
      <c r="D400" s="16" t="inlineStr">
        <is>
          <t>Banco de Credito del Peru (BCP)</t>
        </is>
      </c>
      <c r="E400" s="17" t="inlineStr">
        <is>
          <t>BanBif colocó más de 80 millones de soles en Certificados de Depósitos Negociables</t>
        </is>
      </c>
      <c r="F400" s="19" t="inlineStr">
        <is>
          <t>Z_sector_macro</t>
        </is>
      </c>
      <c r="G400" s="19" t="n"/>
      <c r="H400" s="20" t="n"/>
      <c r="I400" s="19" t="inlineStr">
        <is>
          <t>Colocacion de un competidor.</t>
        </is>
      </c>
      <c r="J400" s="18" t="inlineStr">
        <is>
          <t>https://elcomercio.pe/economia/negocios/banbif-coloco-mas-de-80-millones-de-soles-en-certificados-de-depositos-negociables-peru-lima-banco-noticia/</t>
        </is>
      </c>
    </row>
    <row r="401" ht="28.05" customHeight="1">
      <c r="A401" s="15" t="n">
        <v>400</v>
      </c>
      <c r="B401" s="15" t="inlineStr">
        <is>
          <t>2020-04-13</t>
        </is>
      </c>
      <c r="C401" s="16" t="inlineStr">
        <is>
          <t>elcomercio.pe</t>
        </is>
      </c>
      <c r="D401" s="16" t="inlineStr">
        <is>
          <t>Luz del Sur</t>
        </is>
      </c>
      <c r="E401" s="17" t="inlineStr">
        <is>
          <t>Wall Street cae mientras inversores esperan nerviosos por reportes de ganancias corporativas</t>
        </is>
      </c>
      <c r="F401" s="19" t="inlineStr">
        <is>
          <t>Z_indice_bursatil</t>
        </is>
      </c>
      <c r="G401" s="19" t="n"/>
      <c r="H401" s="20" t="n"/>
      <c r="I401" s="19" t="inlineStr">
        <is>
          <t>Cronica de mercado (Wall Street).</t>
        </is>
      </c>
      <c r="J401" s="18" t="inlineStr">
        <is>
          <t>https://elcomercio.pe/economia/peru/coronavirus-covid-19-wall-street-cae-mientras-inversores-esperan-nerviosos-por-reportes-de-ganancias-corporativas-nndc-noticia/</t>
        </is>
      </c>
    </row>
    <row r="402" ht="28.05" customHeight="1">
      <c r="A402" s="15" t="n">
        <v>401</v>
      </c>
      <c r="B402" s="15" t="inlineStr">
        <is>
          <t>2021-05-27</t>
        </is>
      </c>
      <c r="C402" s="16" t="inlineStr">
        <is>
          <t>gestion.pe</t>
        </is>
      </c>
      <c r="D402" s="16" t="inlineStr">
        <is>
          <t>Banco de Credito del Peru (BCP)</t>
        </is>
      </c>
      <c r="E402" s="17" t="inlineStr">
        <is>
          <t>Retiro de AFP: entérate quienes califican para pedir el retiro de su fondo de pensiones</t>
        </is>
      </c>
      <c r="F402" s="19" t="inlineStr">
        <is>
          <t>Z_no_relevante</t>
        </is>
      </c>
      <c r="G402" s="19" t="n"/>
      <c r="H402" s="20" t="n"/>
      <c r="I402" s="19" t="n"/>
      <c r="J402" s="18" t="inlineStr">
        <is>
          <t>https://gestion.pe/tu-dinero/retiro-de-afp-enterate-quienes-califican-para-pedir-el-retiro-de-su-fondo-de-pensiones-habitat-prima-integra-profuturo-prima-peru-nnda-nnlt-noticia/</t>
        </is>
      </c>
    </row>
    <row r="403" ht="28.05" customHeight="1">
      <c r="A403" s="15" t="n">
        <v>402</v>
      </c>
      <c r="B403" s="15" t="inlineStr">
        <is>
          <t>2023-11-08</t>
        </is>
      </c>
      <c r="C403" s="16" t="inlineStr">
        <is>
          <t>larepublica.pe</t>
        </is>
      </c>
      <c r="D403" s="16" t="inlineStr">
        <is>
          <t>InRetail Peru Corp</t>
        </is>
      </c>
      <c r="E403" s="17" t="inlineStr">
        <is>
          <t>Resultados de La Tinka: revisa la jugada ganadora del miércoles 8 de noviembre</t>
        </is>
      </c>
      <c r="F403" s="19" t="inlineStr">
        <is>
          <t>Z_no_relevante</t>
        </is>
      </c>
      <c r="G403" s="19" t="n"/>
      <c r="H403" s="20" t="n"/>
      <c r="I403" s="19" t="n"/>
      <c r="J403" s="18" t="inlineStr">
        <is>
          <t>https://larepublica.pe/sociedad/2023/11/08/la-tinka-resultados-de-hoy-en-vivo-numeros-ganadores-sorteo-y-jugada-ganadora-del-miercoles-8-de-noviembre-resultados-de-la-tinka-615304</t>
        </is>
      </c>
    </row>
    <row r="404" ht="28.05" customHeight="1">
      <c r="A404" s="15" t="n">
        <v>403</v>
      </c>
      <c r="B404" s="15" t="inlineStr">
        <is>
          <t>2024-05-30</t>
        </is>
      </c>
      <c r="C404" s="16" t="inlineStr">
        <is>
          <t>gestion.pe</t>
        </is>
      </c>
      <c r="D404" s="16" t="inlineStr">
        <is>
          <t>Banco de Credito del Peru (BCP)</t>
        </is>
      </c>
      <c r="E404" s="17" t="inlineStr">
        <is>
          <t>Impulso Myperú: se asignan S/1,355 millones en garantías en beneficio de emprendedores</t>
        </is>
      </c>
      <c r="F404" s="19" t="inlineStr">
        <is>
          <t>Z_sector_macro</t>
        </is>
      </c>
      <c r="G404" s="19" t="n"/>
      <c r="H404" s="20" t="inlineStr">
        <is>
          <t>x</t>
        </is>
      </c>
      <c r="I404" s="19" t="inlineStr">
        <is>
          <t>Programa estatal de garantias canalizado por el sistema financiero.</t>
        </is>
      </c>
      <c r="J404" s="18" t="inlineStr">
        <is>
          <t>https://gestion.pe/economia/impulso-myperu-se-asignan-s1355-millones-en-garantias-en-beneficio-de-emprendedores-noticia/</t>
        </is>
      </c>
    </row>
    <row r="405" ht="28.05" customHeight="1">
      <c r="A405" s="15" t="n">
        <v>404</v>
      </c>
      <c r="B405" s="15" t="inlineStr">
        <is>
          <t>2022-02-04</t>
        </is>
      </c>
      <c r="C405" s="16" t="inlineStr">
        <is>
          <t>larepublica.pe</t>
        </is>
      </c>
      <c r="D405" s="16" t="inlineStr">
        <is>
          <t>Banco de Credito del Peru (BCP)</t>
        </is>
      </c>
      <c r="E405" s="17" t="inlineStr">
        <is>
          <t>Precio del dólar hoy: a cuánto cotiza este viernes 4 de febrero de 2022</t>
        </is>
      </c>
      <c r="F405" s="19" t="inlineStr">
        <is>
          <t>Z_mencion_incidental</t>
        </is>
      </c>
      <c r="G405" s="19" t="n"/>
      <c r="H405" s="20" t="n"/>
      <c r="I405" s="19" t="inlineStr">
        <is>
          <t>Tipo de cambio.</t>
        </is>
      </c>
      <c r="J405" s="18" t="inlineStr">
        <is>
          <t>https://larepublica.pe/datos-lr/respuestas/2022/02/04/a-cuanto-esta-el-dolar-hoy-tipo-de-cambio-este-viernes-4-de-febrero-atmp/</t>
        </is>
      </c>
    </row>
    <row r="406" ht="28.05" customHeight="1">
      <c r="A406" s="15" t="n">
        <v>405</v>
      </c>
      <c r="B406" s="15" t="inlineStr">
        <is>
          <t>2014-06-19</t>
        </is>
      </c>
      <c r="C406" s="16" t="inlineStr">
        <is>
          <t>larepublica.pe</t>
        </is>
      </c>
      <c r="D406" s="16" t="inlineStr">
        <is>
          <t>Banco de Credito del Peru (BCP)</t>
        </is>
      </c>
      <c r="E406" s="17" t="inlineStr">
        <is>
          <t>Los nuevos apóstoles de la economía peruana</t>
        </is>
      </c>
      <c r="F406" s="19" t="inlineStr">
        <is>
          <t>Z_no_relevante</t>
        </is>
      </c>
      <c r="G406" s="19" t="n"/>
      <c r="H406" s="20" t="inlineStr">
        <is>
          <t>x</t>
        </is>
      </c>
      <c r="I406" s="19" t="inlineStr">
        <is>
          <t>Titular opaco (ver fila 239).</t>
        </is>
      </c>
      <c r="J406" s="18" t="inlineStr">
        <is>
          <t>http://www.larepublica.pe/19-06-2014/los-nuevos-apostoles-de-la-economia-peruana</t>
        </is>
      </c>
    </row>
    <row r="407" ht="28.05" customHeight="1">
      <c r="A407" s="15" t="n">
        <v>406</v>
      </c>
      <c r="B407" s="15" t="inlineStr">
        <is>
          <t>2014-10-12</t>
        </is>
      </c>
      <c r="C407" s="16" t="inlineStr">
        <is>
          <t>larepublica.pe</t>
        </is>
      </c>
      <c r="D407" s="16" t="inlineStr">
        <is>
          <t>Alicorp</t>
        </is>
      </c>
      <c r="E407" s="17" t="inlineStr">
        <is>
          <t>Oropesa: el pan de cada día (FOTOS)</t>
        </is>
      </c>
      <c r="F407" s="19" t="inlineStr">
        <is>
          <t>Z_no_relevante</t>
        </is>
      </c>
      <c r="G407" s="19" t="n"/>
      <c r="H407" s="20" t="n"/>
      <c r="I407" s="19" t="n"/>
      <c r="J407" s="18" t="inlineStr">
        <is>
          <t>http://www.larepublica.pe/13-10-2014/oropesa-el-pan-de-cada-dia</t>
        </is>
      </c>
    </row>
    <row r="408" ht="28.05" customHeight="1">
      <c r="A408" s="15" t="n">
        <v>407</v>
      </c>
      <c r="B408" s="15" t="inlineStr">
        <is>
          <t>2024-05-12</t>
        </is>
      </c>
      <c r="C408" s="16" t="inlineStr">
        <is>
          <t>gestion.pe</t>
        </is>
      </c>
      <c r="D408" s="16" t="inlineStr">
        <is>
          <t>Minsur</t>
        </is>
      </c>
      <c r="E408" s="17" t="inlineStr">
        <is>
          <t>Exalmar navega a contracorriente, sus proyecciones para el segundo semestre</t>
        </is>
      </c>
      <c r="F408" s="19" t="inlineStr">
        <is>
          <t>Z_no_relevante</t>
        </is>
      </c>
      <c r="G408" s="19" t="n"/>
      <c r="H408" s="20" t="n"/>
      <c r="I408" s="19" t="inlineStr">
        <is>
          <t>Exalmar: otra empresa, otro sector.</t>
        </is>
      </c>
      <c r="J408" s="18" t="inlineStr">
        <is>
          <t>https://gestion.pe/economia/empresas/exalmar-navega-a-contracorriente-sus-proyecciones-para-el-segundo-semestre-inversiones-sector-pesquero-peru-harina-de-pescado-noticia/</t>
        </is>
      </c>
    </row>
    <row r="409" ht="28.05" customHeight="1">
      <c r="A409" s="15" t="n">
        <v>408</v>
      </c>
      <c r="B409" s="15" t="inlineStr">
        <is>
          <t>2021-12-30</t>
        </is>
      </c>
      <c r="C409" s="16" t="inlineStr">
        <is>
          <t>larepublica.pe</t>
        </is>
      </c>
      <c r="D409" s="16" t="inlineStr">
        <is>
          <t>Banco de Credito del Peru (BCP)</t>
        </is>
      </c>
      <c r="E409" s="17" t="inlineStr">
        <is>
          <t>Año Nuevo 2022: revisa los horarios de atención de los principales bancos del país</t>
        </is>
      </c>
      <c r="F409" s="19" t="inlineStr">
        <is>
          <t>Z_mencion_incidental</t>
        </is>
      </c>
      <c r="G409" s="19" t="n"/>
      <c r="H409" s="20" t="n"/>
      <c r="I409" s="19" t="inlineStr">
        <is>
          <t>Horarios de atencion de la banca.</t>
        </is>
      </c>
      <c r="J409" s="18" t="inlineStr">
        <is>
          <t>https://larepublica.pe/datos-lr/actualidad/2021/12/30/ano-nuevo-2022-revisa-los-horarios-del-bcp-bbva-interbank-bnp-y-scotiabank-atmp/</t>
        </is>
      </c>
    </row>
    <row r="410" ht="28.05" customHeight="1">
      <c r="A410" s="15" t="n">
        <v>409</v>
      </c>
      <c r="B410" s="15" t="inlineStr">
        <is>
          <t>2017-12-04</t>
        </is>
      </c>
      <c r="C410" s="16" t="inlineStr">
        <is>
          <t>gestion.pe</t>
        </is>
      </c>
      <c r="D410" s="16" t="inlineStr">
        <is>
          <t>Alicorp</t>
        </is>
      </c>
      <c r="E410" s="17" t="inlineStr">
        <is>
          <t>BVL bajó afectada por las pérdidas de acciones de los sectores construcción, financiero y minería</t>
        </is>
      </c>
      <c r="F410" s="19" t="inlineStr">
        <is>
          <t>Z_indice_bursatil</t>
        </is>
      </c>
      <c r="G410" s="19" t="n"/>
      <c r="H410" s="20" t="n"/>
      <c r="I410" s="19" t="n"/>
      <c r="J410" s="18" t="inlineStr">
        <is>
          <t>http://gestion.pe/economia/mercados/bvl-afectada-perdidas-acciones-sectores-construccion-financiero-mineria-222047</t>
        </is>
      </c>
    </row>
    <row r="411" ht="28.05" customHeight="1">
      <c r="A411" s="15" t="n">
        <v>410</v>
      </c>
      <c r="B411" s="15" t="inlineStr">
        <is>
          <t>2024-10-29</t>
        </is>
      </c>
      <c r="C411" s="16" t="inlineStr">
        <is>
          <t>gestion.pe</t>
        </is>
      </c>
      <c r="D411" s="16" t="inlineStr">
        <is>
          <t>Minsur</t>
        </is>
      </c>
      <c r="E411" s="17" t="inlineStr">
        <is>
          <t>La apuesta por la sostenibilidad en las telecomunicaciones, ¿cuál es el reto?</t>
        </is>
      </c>
      <c r="F411" s="19" t="inlineStr">
        <is>
          <t>Z_no_relevante</t>
        </is>
      </c>
      <c r="G411" s="19" t="n"/>
      <c r="H411" s="20" t="n"/>
      <c r="I411" s="19" t="n"/>
      <c r="J411" s="18" t="inlineStr">
        <is>
          <t>https://gestion.pe/economia/la-apuesta-por-la-sostenibilidad-en-las-telecomunicaciones-cual-es-el-reto-claro-empresas-gestion-responsable-noticia/</t>
        </is>
      </c>
    </row>
    <row r="412" ht="28.05" customHeight="1">
      <c r="A412" s="15" t="n">
        <v>411</v>
      </c>
      <c r="B412" s="15" t="inlineStr">
        <is>
          <t>2025-05-08</t>
        </is>
      </c>
      <c r="C412" s="16" t="inlineStr">
        <is>
          <t>elcomercio.pe</t>
        </is>
      </c>
      <c r="D412" s="16" t="inlineStr">
        <is>
          <t>Minsur</t>
        </is>
      </c>
      <c r="E412" s="17" t="inlineStr">
        <is>
          <t>Hub de Innovación Minera: Empresas del sector buscan tener un rol más activo en innovación ante nuevos desafíos</t>
        </is>
      </c>
      <c r="F412" s="19" t="inlineStr">
        <is>
          <t>Z_sector_macro</t>
        </is>
      </c>
      <c r="G412" s="19" t="n"/>
      <c r="H412" s="20" t="n"/>
      <c r="I412" s="19" t="n"/>
      <c r="J412" s="18" t="inlineStr">
        <is>
          <t>https://elcomercio.pe/economia/dia-1/sostenibilidad-hub-de-innovacion-minera-las-empresas-mineras-que-piensan-fuera-de-la-caja-mineria-hub-de-innovacion-minera-innovar-en-mineria-noticia/</t>
        </is>
      </c>
    </row>
    <row r="413" ht="28.05" customHeight="1">
      <c r="A413" s="15" t="n">
        <v>412</v>
      </c>
      <c r="B413" s="15" t="inlineStr">
        <is>
          <t>2018-03-13</t>
        </is>
      </c>
      <c r="C413" s="16" t="inlineStr">
        <is>
          <t>larepublica.pe</t>
        </is>
      </c>
      <c r="D413" s="16" t="inlineStr">
        <is>
          <t>Ferreycorp</t>
        </is>
      </c>
      <c r="E413" s="17" t="inlineStr">
        <is>
          <t>Jorge Barata dice que conoce a Keiko Fujimori hace 20 añosAráoz y ministros alzan voces contra intento de vacancia presidencial</t>
        </is>
      </c>
      <c r="F413" s="19" t="inlineStr">
        <is>
          <t>Z_no_relevante</t>
        </is>
      </c>
      <c r="G413" s="19" t="n"/>
      <c r="H413" s="20" t="n"/>
      <c r="I413" s="19" t="n"/>
      <c r="J413" s="18" t="inlineStr">
        <is>
          <t>http://larepublica.pe/politica/1210819-jorge-barata-dice-que-conoce-a-keiko-fujimori-hace-20-anosaraoz-y-ministros-alzan-voces-contra-intento-de-vacancia-presidencial</t>
        </is>
      </c>
    </row>
    <row r="414" ht="28.05" customHeight="1">
      <c r="A414" s="15" t="n">
        <v>413</v>
      </c>
      <c r="B414" s="15" t="inlineStr">
        <is>
          <t>2024-12-09</t>
        </is>
      </c>
      <c r="C414" s="16" t="inlineStr">
        <is>
          <t>larepublica.pe</t>
        </is>
      </c>
      <c r="D414" s="16" t="inlineStr">
        <is>
          <t>Aceros Arequipa</t>
        </is>
      </c>
      <c r="E414" s="17" t="inlineStr">
        <is>
          <t>Los promotores del despojo en la Amazonía peruana</t>
        </is>
      </c>
      <c r="F414" s="19" t="inlineStr">
        <is>
          <t>Z_no_relevante</t>
        </is>
      </c>
      <c r="G414" s="19" t="n"/>
      <c r="H414" s="20" t="n"/>
      <c r="I414" s="19" t="n"/>
      <c r="J414" s="18" t="n"/>
    </row>
    <row r="415" ht="28.05" customHeight="1">
      <c r="A415" s="15" t="n">
        <v>414</v>
      </c>
      <c r="B415" s="15" t="inlineStr">
        <is>
          <t>2023-08-21</t>
        </is>
      </c>
      <c r="C415" s="16" t="inlineStr">
        <is>
          <t>gestion.pe</t>
        </is>
      </c>
      <c r="D415" s="16" t="inlineStr">
        <is>
          <t>Ferreycorp</t>
        </is>
      </c>
      <c r="E415" s="17" t="inlineStr">
        <is>
          <t>BVL cierra al alza mientras inquietud de los mercados por economía china continúa</t>
        </is>
      </c>
      <c r="F415" s="19" t="inlineStr">
        <is>
          <t>Z_indice_bursatil</t>
        </is>
      </c>
      <c r="G415" s="19" t="n"/>
      <c r="H415" s="20" t="n"/>
      <c r="I415" s="19" t="n"/>
      <c r="J415" s="18" t="inlineStr">
        <is>
          <t>https://gestion.pe/economia/mercados/bvl-cierra-al-alza-mientras-inquietud-de-los-mercados-por-economia-china-continua-noticia/</t>
        </is>
      </c>
    </row>
    <row r="416" ht="28.05" customHeight="1">
      <c r="A416" s="15" t="n">
        <v>415</v>
      </c>
      <c r="B416" s="15" t="inlineStr">
        <is>
          <t>2021-04-23</t>
        </is>
      </c>
      <c r="C416" s="16" t="inlineStr">
        <is>
          <t>gestion.pe</t>
        </is>
      </c>
      <c r="D416" s="16" t="inlineStr">
        <is>
          <t>Banco de Credito del Peru (BCP)</t>
        </is>
      </c>
      <c r="E416" s="17" t="inlineStr">
        <is>
          <t>¿Es este un buen momento para sacar un crédito vehicular y qué alternativas hay?</t>
        </is>
      </c>
      <c r="F416" s="19" t="inlineStr">
        <is>
          <t>Z_sector_macro</t>
        </is>
      </c>
      <c r="G416" s="19" t="n"/>
      <c r="H416" s="20" t="n"/>
      <c r="I416" s="19" t="inlineStr">
        <is>
          <t>Condiciones del credito vehicular.</t>
        </is>
      </c>
      <c r="J416" s="18" t="inlineStr">
        <is>
          <t>https://gestion.pe/economia/es-este-un-buen-momento-para-sacar-un-credito-vehicular-y-que-alternativas-hay-ncze-noticia/</t>
        </is>
      </c>
    </row>
    <row r="417" ht="28.05" customHeight="1">
      <c r="A417" s="15" t="n">
        <v>416</v>
      </c>
      <c r="B417" s="15" t="inlineStr">
        <is>
          <t>2020-06-08</t>
        </is>
      </c>
      <c r="C417" s="16" t="inlineStr">
        <is>
          <t>elcomercio.pe</t>
        </is>
      </c>
      <c r="D417" s="16" t="inlineStr">
        <is>
          <t>Luz del Sur</t>
        </is>
      </c>
      <c r="E417" s="17" t="inlineStr">
        <is>
          <t>Chaglla, la central hidroeléctrica adquirida por China Three Gorges, que no paró nunca en cuarentena</t>
        </is>
      </c>
      <c r="F417" s="19" t="inlineStr">
        <is>
          <t>Z_sector_macro</t>
        </is>
      </c>
      <c r="G417" s="19" t="n"/>
      <c r="H417" s="20" t="inlineStr">
        <is>
          <t>x</t>
        </is>
      </c>
      <c r="I417" s="19" t="inlineStr">
        <is>
          <t>Central de la misma matriz china, pero el hecho no es de Luz del Sur.</t>
        </is>
      </c>
      <c r="J417" s="18" t="inlineStr">
        <is>
          <t>https://elcomercio.pe/economia/dia-1/odebrecht-chaglla-como-fue-su-adquisicion-por-china-three-gorges-entrevista-humberto-armas-noticia/</t>
        </is>
      </c>
    </row>
    <row r="418" ht="28.05" customHeight="1">
      <c r="A418" s="15" t="n">
        <v>417</v>
      </c>
      <c r="B418" s="15" t="inlineStr">
        <is>
          <t>2023-09-26</t>
        </is>
      </c>
      <c r="C418" s="16" t="inlineStr">
        <is>
          <t>gestion.pe</t>
        </is>
      </c>
      <c r="D418" s="16" t="inlineStr">
        <is>
          <t>Minsur</t>
        </is>
      </c>
      <c r="E418" s="17" t="inlineStr">
        <is>
          <t>Pesqueros y procesados, los productos que apuntan al consumidor premium en Australia</t>
        </is>
      </c>
      <c r="F418" s="19" t="inlineStr">
        <is>
          <t>Z_no_relevante</t>
        </is>
      </c>
      <c r="G418" s="19" t="n"/>
      <c r="H418" s="20" t="n"/>
      <c r="I418" s="19" t="n"/>
      <c r="J418" s="18" t="inlineStr">
        <is>
          <t>https://gestion.pe/economia/promperu-australia-pesqueros-y-procesados-los-productos-que-apuntan-al-consumidor-premium-en-australia-noticia/</t>
        </is>
      </c>
    </row>
    <row r="419" ht="28.05" customHeight="1">
      <c r="A419" s="15" t="n">
        <v>418</v>
      </c>
      <c r="B419" s="15" t="inlineStr">
        <is>
          <t>2020-08-31</t>
        </is>
      </c>
      <c r="C419" s="16" t="inlineStr">
        <is>
          <t>gestion.pe</t>
        </is>
      </c>
      <c r="D419" s="16" t="inlineStr">
        <is>
          <t>Alicorp</t>
        </is>
      </c>
      <c r="E419" s="17" t="inlineStr">
        <is>
          <t>Economía: Alicorp no vería afectados sus ingresos pese a la crisis por el Covid-</t>
        </is>
      </c>
      <c r="F419" s="19" t="inlineStr">
        <is>
          <t>C_analisis_opinion</t>
        </is>
      </c>
      <c r="G419" s="19" t="inlineStr">
        <is>
          <t>neutral</t>
        </is>
      </c>
      <c r="H419" s="20" t="inlineStr">
        <is>
          <t>x</t>
        </is>
      </c>
      <c r="I419" s="19" t="inlineStr">
        <is>
          <t>Proyeccion de que sus ingresos resistiran la crisis. Alternativa: A_resultados.</t>
        </is>
      </c>
      <c r="J419" s="18" t="inlineStr">
        <is>
          <t>https://gestion.pe/economia/alicorp-no-veria-afectados-sus-ingresos-pese-a-la-crisis-por-el-covid-19-noticia/</t>
        </is>
      </c>
    </row>
    <row r="420" ht="28.05" customHeight="1">
      <c r="A420" s="15" t="n">
        <v>419</v>
      </c>
      <c r="B420" s="15" t="inlineStr">
        <is>
          <t>2021-12-06</t>
        </is>
      </c>
      <c r="C420" s="16" t="inlineStr">
        <is>
          <t>gestion.pe</t>
        </is>
      </c>
      <c r="D420" s="16" t="inlineStr">
        <is>
          <t>Banco de Credito del Peru (BCP)</t>
        </is>
      </c>
      <c r="E420" s="17" t="inlineStr">
        <is>
          <t>El 56% no puede ahorrar porque está saliendo de deudas y crisis económica</t>
        </is>
      </c>
      <c r="F420" s="19" t="inlineStr">
        <is>
          <t>Z_sector_macro</t>
        </is>
      </c>
      <c r="G420" s="19" t="n"/>
      <c r="H420" s="20" t="n"/>
      <c r="I420" s="19" t="n"/>
      <c r="J420" s="18" t="inlineStr">
        <is>
          <t>https://gestion.pe/tu-dinero/el-56-no-puede-ahorrar-porque-esta-saliendo-de-deudas-y-crisis-economica-noticia/</t>
        </is>
      </c>
    </row>
    <row r="421" ht="28.05" customHeight="1">
      <c r="A421" s="15" t="n">
        <v>420</v>
      </c>
      <c r="B421" s="15" t="inlineStr">
        <is>
          <t>2017-11-22</t>
        </is>
      </c>
      <c r="C421" s="16" t="inlineStr">
        <is>
          <t>gestion.pe</t>
        </is>
      </c>
      <c r="D421" s="16" t="inlineStr">
        <is>
          <t>Compania de Minas Buenaventura</t>
        </is>
      </c>
      <c r="E421" s="17" t="inlineStr">
        <is>
          <t>Inversión minera: 10 firmas que ya superaron desembolsos por US$ 100 millones</t>
        </is>
      </c>
      <c r="F421" s="19" t="inlineStr">
        <is>
          <t>Z_mencion_incidental</t>
        </is>
      </c>
      <c r="G421" s="19" t="n"/>
      <c r="H421" s="20" t="n"/>
      <c r="I421" s="19" t="inlineStr">
        <is>
          <t>Ranking de inversion minera.</t>
        </is>
      </c>
      <c r="J421" s="18" t="n"/>
    </row>
    <row r="422" ht="28.05" customHeight="1">
      <c r="A422" s="15" t="n">
        <v>421</v>
      </c>
      <c r="B422" s="15" t="inlineStr">
        <is>
          <t>2021-08-27</t>
        </is>
      </c>
      <c r="C422" s="16" t="inlineStr">
        <is>
          <t>elcomercio.pe</t>
        </is>
      </c>
      <c r="D422" s="16" t="inlineStr">
        <is>
          <t>Ferreycorp</t>
        </is>
      </c>
      <c r="E422" s="17" t="inlineStr">
        <is>
          <t>Los ‘pop-up’, un recurso por seducir a más ‘foodies’ locales | Lo normal es lo infrecuente, por Javier Masías</t>
        </is>
      </c>
      <c r="F422" s="19" t="inlineStr">
        <is>
          <t>Z_no_relevante</t>
        </is>
      </c>
      <c r="G422" s="19" t="n"/>
      <c r="H422" s="20" t="n"/>
      <c r="I422" s="19" t="n"/>
      <c r="J422" s="18" t="inlineStr">
        <is>
          <t>https://elcomercio.pe/gastronomia/los-pop-up-un-recurso-por-seducir-a-mas-foodies-locales-lo-normal-es-lo-infrecuente-por-javier-masias-noticia/</t>
        </is>
      </c>
    </row>
    <row r="423" ht="28.05" customHeight="1">
      <c r="A423" s="15" t="n">
        <v>422</v>
      </c>
      <c r="B423" s="15" t="inlineStr">
        <is>
          <t>2021-10-20</t>
        </is>
      </c>
      <c r="C423" s="16" t="inlineStr">
        <is>
          <t>elcomercio.pe</t>
        </is>
      </c>
      <c r="D423" s="16" t="inlineStr">
        <is>
          <t>Minsur</t>
        </is>
      </c>
      <c r="E423" s="17" t="inlineStr">
        <is>
          <t>Pensión 65 logró la inclusión financiera de 16,264 adultos mayores en 10 años</t>
        </is>
      </c>
      <c r="F423" s="19" t="inlineStr">
        <is>
          <t>Z_no_relevante</t>
        </is>
      </c>
      <c r="G423" s="19" t="n"/>
      <c r="H423" s="20" t="n"/>
      <c r="I423" s="19" t="n"/>
      <c r="J423" s="18" t="inlineStr">
        <is>
          <t>https://elcomercio.pe/economia/peru/pension-65-logro-la-inclusion-financiera-de-16264-adultos-mayores-en-10-anos-nndc-noticia/</t>
        </is>
      </c>
    </row>
    <row r="424" ht="28.05" customHeight="1">
      <c r="A424" s="15" t="n">
        <v>423</v>
      </c>
      <c r="B424" s="15" t="inlineStr">
        <is>
          <t>2020-10-18</t>
        </is>
      </c>
      <c r="C424" s="16" t="inlineStr">
        <is>
          <t>elcomercio.pe</t>
        </is>
      </c>
      <c r="D424" s="16" t="inlineStr">
        <is>
          <t>Ferreycorp</t>
        </is>
      </c>
      <c r="E424" s="17" t="inlineStr">
        <is>
          <t>Negocios: Ranking Merco 2020</t>
        </is>
      </c>
      <c r="F424" s="19" t="inlineStr">
        <is>
          <t>Z_mencion_incidental</t>
        </is>
      </c>
      <c r="G424" s="19" t="n"/>
      <c r="H424" s="20" t="n"/>
      <c r="I424" s="19" t="inlineStr">
        <is>
          <t>Ranking Merco.</t>
        </is>
      </c>
      <c r="J424" s="18" t="inlineStr">
        <is>
          <t>https://elcomercio.pe/economia/negocios/ranking-merco-2020-top10-estas-son-las-empresas-con-mejor-reputacion-corporativa-en-peru-noticia/</t>
        </is>
      </c>
    </row>
    <row r="425" ht="28.05" customHeight="1">
      <c r="A425" s="15" t="n">
        <v>424</v>
      </c>
      <c r="B425" s="15" t="inlineStr">
        <is>
          <t>2024-06-26</t>
        </is>
      </c>
      <c r="C425" s="16" t="inlineStr">
        <is>
          <t>gestion.pe</t>
        </is>
      </c>
      <c r="D425" s="16" t="inlineStr">
        <is>
          <t>InRetail Peru Corp</t>
        </is>
      </c>
      <c r="E425" s="17" t="inlineStr">
        <is>
          <t>Tiendas 3A: ¿Cuánto tardará AJE en alcanzar a Mass tras abrir su primer local? | tiendas de descuento</t>
        </is>
      </c>
      <c r="F425" s="19" t="inlineStr">
        <is>
          <t>Z_sector_macro</t>
        </is>
      </c>
      <c r="G425" s="19" t="n"/>
      <c r="H425" s="20" t="inlineStr">
        <is>
          <t>x</t>
        </is>
      </c>
      <c r="I425" s="19" t="inlineStr">
        <is>
          <t>Competencia entre tiendas de descuento, incluida Mass.</t>
        </is>
      </c>
      <c r="J425" s="18" t="inlineStr">
        <is>
          <t>https://gestion.pe/economia/empresas/cuanto-tardara-aje-en-alcanzar-a-mass-tras-abrir-su-primera-tienda-hard-discount-tiendas-de-descuento-empresas-inretail-3a-expansiones-inversiones-consumo-ananos-noticia/</t>
        </is>
      </c>
    </row>
    <row r="426" ht="28.05" customHeight="1">
      <c r="A426" s="15" t="n">
        <v>425</v>
      </c>
      <c r="B426" s="15" t="inlineStr">
        <is>
          <t>2021-07-27</t>
        </is>
      </c>
      <c r="C426" s="16" t="inlineStr">
        <is>
          <t>elcomercio.pe</t>
        </is>
      </c>
      <c r="D426" s="16" t="inlineStr">
        <is>
          <t>Cementos Pacasmayo</t>
        </is>
      </c>
      <c r="E426" s="17" t="inlineStr">
        <is>
          <t>Bolsa de Lima cierra al alza en medio de expectativas por Mensaje a la Nación</t>
        </is>
      </c>
      <c r="F426" s="19" t="inlineStr">
        <is>
          <t>Z_indice_bursatil</t>
        </is>
      </c>
      <c r="G426" s="19" t="n"/>
      <c r="H426" s="20" t="n"/>
      <c r="I426" s="19" t="n"/>
      <c r="J426" s="18" t="inlineStr">
        <is>
          <t>https://elcomercio.pe/economia/mercados/bolsa-de-lima-cierra-al-alza-en-medio-de-expectativas-por-mensaje-a-la-nacion-nndc-noticia/</t>
        </is>
      </c>
    </row>
    <row r="427" ht="28.05" customHeight="1">
      <c r="A427" s="15" t="n">
        <v>426</v>
      </c>
      <c r="B427" s="15" t="inlineStr">
        <is>
          <t>2022-09-21</t>
        </is>
      </c>
      <c r="C427" s="16" t="inlineStr">
        <is>
          <t>larepublica.pe</t>
        </is>
      </c>
      <c r="D427" s="16" t="inlineStr">
        <is>
          <t>Minsur</t>
        </is>
      </c>
      <c r="E427" s="17" t="inlineStr">
        <is>
          <t>Bolsa de Valores de Lima cerró con 8 índices en verde y ganó 0,39% este miércoles 21 de setiembre</t>
        </is>
      </c>
      <c r="F427" s="19" t="inlineStr">
        <is>
          <t>Z_indice_bursatil</t>
        </is>
      </c>
      <c r="G427" s="19" t="n"/>
      <c r="H427" s="20" t="n"/>
      <c r="I427" s="19" t="n"/>
      <c r="J427" s="18" t="inlineStr">
        <is>
          <t>https://larepublica.pe/economia/2022/09/21/bolsa-de-valores-de-lima-cerro-con-8-indices-en-verde-y-gano-039-este-miercoles-21-de-setiembre/</t>
        </is>
      </c>
    </row>
    <row r="428" ht="28.05" customHeight="1">
      <c r="A428" s="15" t="n">
        <v>427</v>
      </c>
      <c r="B428" s="15" t="inlineStr">
        <is>
          <t>2022-09-28</t>
        </is>
      </c>
      <c r="C428" s="16" t="inlineStr">
        <is>
          <t>gestion.pe</t>
        </is>
      </c>
      <c r="D428" s="16" t="inlineStr">
        <is>
          <t>Ferreycorp</t>
        </is>
      </c>
      <c r="E428" s="17" t="inlineStr">
        <is>
          <t>Bolsa de Valores de Lima cierra con ganancias mientras los temores a una recesión global se atenúan</t>
        </is>
      </c>
      <c r="F428" s="19" t="inlineStr">
        <is>
          <t>Z_indice_bursatil</t>
        </is>
      </c>
      <c r="G428" s="19" t="n"/>
      <c r="H428" s="20" t="n"/>
      <c r="I428" s="19" t="n"/>
      <c r="J428" s="18" t="inlineStr">
        <is>
          <t>https://gestion.pe/economia/mercados/bolsa-de-valores-de-lima-cierra-con-ganancias-mientras-los-temores-a-una-recesion-global-se-atenuan-rmmn-noticia/</t>
        </is>
      </c>
    </row>
    <row r="429" ht="28.05" customHeight="1">
      <c r="A429" s="15" t="n">
        <v>428</v>
      </c>
      <c r="B429" s="15" t="inlineStr">
        <is>
          <t>2022-07-26</t>
        </is>
      </c>
      <c r="C429" s="16" t="inlineStr">
        <is>
          <t>larepublica.pe</t>
        </is>
      </c>
      <c r="D429" s="16" t="inlineStr">
        <is>
          <t>Luz del Sur</t>
        </is>
      </c>
      <c r="E429" s="17" t="inlineStr">
        <is>
          <t>Bolsa de Valores de Lima cerró la jornada en terreno positivo con 0,91% y 12 indicadores al alza</t>
        </is>
      </c>
      <c r="F429" s="19" t="inlineStr">
        <is>
          <t>Z_indice_bursatil</t>
        </is>
      </c>
      <c r="G429" s="19" t="n"/>
      <c r="H429" s="20" t="n"/>
      <c r="I429" s="19" t="n"/>
      <c r="J429" s="18" t="inlineStr">
        <is>
          <t>https://larepublica.pe/economia/2022/07/26/bolsa-de-valores-de-lima-cerro-la-jornada-en-terreno-positivo-con-091-y-12-indicadores-al-alza-hoy-martes-26-de-julio/</t>
        </is>
      </c>
    </row>
    <row r="430" ht="28.05" customHeight="1">
      <c r="A430" s="15" t="n">
        <v>429</v>
      </c>
      <c r="B430" s="15" t="inlineStr">
        <is>
          <t>2021-05-27</t>
        </is>
      </c>
      <c r="C430" s="16" t="inlineStr">
        <is>
          <t>elcomercio.pe</t>
        </is>
      </c>
      <c r="D430" s="16" t="inlineStr">
        <is>
          <t>Banco de Credito del Peru (BCP)</t>
        </is>
      </c>
      <c r="E430" s="17" t="inlineStr">
        <is>
          <t>Retiro AFP de 4 UIT | Cronograma | ¿quiénes pueden solicitar desde hoy 27 de mayo el acceso hasta S/17.600 de sus fondos y cómo será el pago? | AFP | SBS | Habitat | Integra | Profuturo | Prima | nnda nnlt | RESPUESTAS</t>
        </is>
      </c>
      <c r="F430" s="19" t="inlineStr">
        <is>
          <t>Z_no_relevante</t>
        </is>
      </c>
      <c r="G430" s="19" t="n"/>
      <c r="H430" s="20" t="n"/>
      <c r="I430" s="19" t="n"/>
      <c r="J430" s="18" t="inlineStr">
        <is>
          <t>https://elcomercio.pe/respuestas/retiro-afp-de-4-uit-cronograma-quienes-pueden-solicitar-desde-hoy-27-de-mayo-el-acceso-hasta-s17600-de-sus-fondos-y-como-sera-el-pago-afp-sbs-habitat-integra-profuturo-prima-nnda-nnlt-noticia/</t>
        </is>
      </c>
    </row>
    <row r="431" ht="28.05" customHeight="1">
      <c r="A431" s="15" t="n">
        <v>430</v>
      </c>
      <c r="B431" s="15" t="inlineStr">
        <is>
          <t>2025-02-16</t>
        </is>
      </c>
      <c r="C431" s="16" t="inlineStr">
        <is>
          <t>gestion.pe</t>
        </is>
      </c>
      <c r="D431" s="16" t="inlineStr">
        <is>
          <t>Banco de Credito del Peru (BCP)</t>
        </is>
      </c>
      <c r="E431" s="17" t="inlineStr">
        <is>
          <t>PBI del Perú creció 3.3% en 2024, ¿una guerra comercial pondría “en jaque” el 2025 y 2026?</t>
        </is>
      </c>
      <c r="F431" s="19" t="inlineStr">
        <is>
          <t>Z_sector_macro</t>
        </is>
      </c>
      <c r="G431" s="19" t="n"/>
      <c r="H431" s="20" t="n"/>
      <c r="I431" s="19" t="inlineStr">
        <is>
          <t>PBI anual.</t>
        </is>
      </c>
      <c r="J431" s="18" t="inlineStr">
        <is>
          <t>https://gestion.pe/economia/trump-economia-del-peru-crecio-33-en-2024-una-guerra-comercial-pondria-en-jaque-el-2025-y-2026-estados-unidos-donald-trump-noticia/</t>
        </is>
      </c>
    </row>
    <row r="432" ht="28.05" customHeight="1">
      <c r="A432" s="15" t="n">
        <v>431</v>
      </c>
      <c r="B432" s="15" t="inlineStr">
        <is>
          <t>2021-11-17</t>
        </is>
      </c>
      <c r="C432" s="16" t="inlineStr">
        <is>
          <t>elcomercio.pe</t>
        </is>
      </c>
      <c r="D432" s="16" t="inlineStr">
        <is>
          <t>Banco de Credito del Peru (BCP)</t>
        </is>
      </c>
      <c r="E432" s="17" t="inlineStr">
        <is>
          <t>Bolsa de Valores de Lima abre en rojo por caída de acciones del sector financiero</t>
        </is>
      </c>
      <c r="F432" s="19" t="inlineStr">
        <is>
          <t>Z_indice_bursatil</t>
        </is>
      </c>
      <c r="G432" s="19" t="n"/>
      <c r="H432" s="20" t="n"/>
      <c r="I432" s="19" t="n"/>
      <c r="J432" s="18" t="inlineStr">
        <is>
          <t>https://elcomercio.pe/economia/mercados/bvl-bolsa-de-valores-de-lima-abre-en-rojo-por-caida-de-acciones-del-sector-financiero-nndc-noticia/</t>
        </is>
      </c>
    </row>
    <row r="433" ht="28.05" customHeight="1">
      <c r="A433" s="15" t="n">
        <v>432</v>
      </c>
      <c r="B433" s="15" t="inlineStr">
        <is>
          <t>2024-01-24</t>
        </is>
      </c>
      <c r="C433" s="16" t="inlineStr">
        <is>
          <t>elcomercio.pe</t>
        </is>
      </c>
      <c r="D433" s="16" t="inlineStr">
        <is>
          <t>Alicorp</t>
        </is>
      </c>
      <c r="E433" s="17" t="inlineStr">
        <is>
          <t>Fitch Ratings afirma calificaciones de Alicorp en 'BBB' con perspectiva estable</t>
        </is>
      </c>
      <c r="F433" s="19" t="inlineStr">
        <is>
          <t>C_analisis_opinion</t>
        </is>
      </c>
      <c r="G433" s="19" t="inlineStr">
        <is>
          <t>neutral</t>
        </is>
      </c>
      <c r="H433" s="20" t="n"/>
      <c r="I433" s="19" t="inlineStr">
        <is>
          <t>Fitch afirma BBB con perspectiva estable.</t>
        </is>
      </c>
      <c r="J433" s="18" t="inlineStr">
        <is>
          <t>https://elcomercio.pe/economia/negocios/fitch-ratings-afirma-calificaciones-de-alicorp-en-bbb-con-perspectiva-estable-ultimas-noticia/</t>
        </is>
      </c>
    </row>
    <row r="434" ht="28.05" customHeight="1">
      <c r="A434" s="15" t="n">
        <v>433</v>
      </c>
      <c r="B434" s="15" t="inlineStr">
        <is>
          <t>2014-09-13</t>
        </is>
      </c>
      <c r="C434" s="16" t="inlineStr">
        <is>
          <t>larepublica.pe</t>
        </is>
      </c>
      <c r="D434" s="16" t="inlineStr">
        <is>
          <t>Luz del Sur</t>
        </is>
      </c>
      <c r="E434" s="17" t="inlineStr">
        <is>
          <t>“María” canción oficial de la Colecta Pública de la Liga Contra el Cáncer</t>
        </is>
      </c>
      <c r="F434" s="19" t="inlineStr">
        <is>
          <t>Z_patrocinio_rse</t>
        </is>
      </c>
      <c r="G434" s="19" t="n"/>
      <c r="H434" s="20" t="inlineStr">
        <is>
          <t>x</t>
        </is>
      </c>
      <c r="I434" s="19" t="inlineStr">
        <is>
          <t>Colecta benefica.</t>
        </is>
      </c>
      <c r="J434" s="18" t="inlineStr">
        <is>
          <t>http://www.larepublica.pe/13-09-2014/maria-cancion-oficial-de-la-colecta-publica-de-la-liga-contra-el-cancer</t>
        </is>
      </c>
    </row>
    <row r="435" ht="28.05" customHeight="1">
      <c r="A435" s="15" t="n">
        <v>434</v>
      </c>
      <c r="B435" s="15" t="inlineStr">
        <is>
          <t>2018-07-16</t>
        </is>
      </c>
      <c r="C435" s="16" t="inlineStr">
        <is>
          <t>elcomercio.pe</t>
        </is>
      </c>
      <c r="D435" s="16" t="inlineStr">
        <is>
          <t>Alicorp</t>
        </is>
      </c>
      <c r="E435" s="17" t="inlineStr">
        <is>
          <t>Nestlé Perú: El análisis de su gerente general tras dejar el cargo</t>
        </is>
      </c>
      <c r="F435" s="19" t="inlineStr">
        <is>
          <t>Z_sector_macro</t>
        </is>
      </c>
      <c r="G435" s="19" t="n"/>
      <c r="H435" s="20" t="n"/>
      <c r="I435" s="19" t="inlineStr">
        <is>
          <t>Cambio de gerencia en un competidor.</t>
        </is>
      </c>
      <c r="J435" s="18" t="inlineStr">
        <is>
          <t>http://elcomercio.pe/economia/dia-1/nestle-peru-analisis-gerente-general-dejar-cargo-noticia-536438</t>
        </is>
      </c>
    </row>
    <row r="436" ht="28.05" customHeight="1">
      <c r="A436" s="15" t="n">
        <v>435</v>
      </c>
      <c r="B436" s="15" t="inlineStr">
        <is>
          <t>2021-10-25</t>
        </is>
      </c>
      <c r="C436" s="16" t="inlineStr">
        <is>
          <t>gestion.pe</t>
        </is>
      </c>
      <c r="D436" s="16" t="inlineStr">
        <is>
          <t>Minsur</t>
        </is>
      </c>
      <c r="E436" s="17" t="inlineStr">
        <is>
          <t>Minsur extiende hora de plazo para oferta de recompra de bonos senior</t>
        </is>
      </c>
      <c r="F436" s="19" t="inlineStr">
        <is>
          <t>B_dividendo_capital</t>
        </is>
      </c>
      <c r="G436" s="19" t="inlineStr">
        <is>
          <t>neutral</t>
        </is>
      </c>
      <c r="H436" s="20" t="n"/>
      <c r="I436" s="19" t="inlineStr">
        <is>
          <t>Oferta de recompra de bonos senior.</t>
        </is>
      </c>
      <c r="J436" s="18" t="inlineStr">
        <is>
          <t>https://gestion.pe/economia/empresas/minsur-extiende-hora-de-plazo-para-oferta-de-recompra-de-bonos-senior-noticia/</t>
        </is>
      </c>
    </row>
    <row r="437" ht="28.05" customHeight="1">
      <c r="A437" s="15" t="n">
        <v>436</v>
      </c>
      <c r="B437" s="15" t="inlineStr">
        <is>
          <t>2022-08-28</t>
        </is>
      </c>
      <c r="C437" s="16" t="inlineStr">
        <is>
          <t>larepublica.pe</t>
        </is>
      </c>
      <c r="D437" s="16" t="inlineStr">
        <is>
          <t>Saga Falabella</t>
        </is>
      </c>
      <c r="E437" s="17" t="inlineStr">
        <is>
          <t>Chocolate Cua Cua: ¿cuál es la misteriosa teoría del pato que aparece en sus envolturas?</t>
        </is>
      </c>
      <c r="F437" s="19" t="inlineStr">
        <is>
          <t>Z_no_relevante</t>
        </is>
      </c>
      <c r="G437" s="19" t="n"/>
      <c r="H437" s="20" t="n"/>
      <c r="I437" s="19" t="n"/>
      <c r="J437" s="18" t="n"/>
    </row>
    <row r="438" ht="28.05" customHeight="1">
      <c r="A438" s="15" t="n">
        <v>437</v>
      </c>
      <c r="B438" s="15" t="inlineStr">
        <is>
          <t>2021-07-08</t>
        </is>
      </c>
      <c r="C438" s="16" t="inlineStr">
        <is>
          <t>elcomercio.pe</t>
        </is>
      </c>
      <c r="D438" s="16" t="inlineStr">
        <is>
          <t>Ferreycorp</t>
        </is>
      </c>
      <c r="E438" s="17" t="inlineStr">
        <is>
          <t>Violeta Ferreyros sobre parodia a “Trampolín a la fama” en el programa de JB: “Me emocioné”</t>
        </is>
      </c>
      <c r="F438" s="19" t="inlineStr">
        <is>
          <t>Z_no_relevante</t>
        </is>
      </c>
      <c r="G438" s="19" t="n"/>
      <c r="H438" s="20" t="n"/>
      <c r="I438" s="19" t="inlineStr">
        <is>
          <t>Homonimia con el apellido Ferreyros.</t>
        </is>
      </c>
      <c r="J438" s="18" t="inlineStr">
        <is>
          <t>https://elcomercio.pe/tvmas/television/violeta-ferreyros-sobre-parodia-a-trampolin-a-la-fama-en-el-programa-de-jb-me-emocione-trampolin-a-la-champa-farandula-augusto-ferrando-jorge-benavides-nndc-noticia/</t>
        </is>
      </c>
    </row>
    <row r="439" ht="28.05" customHeight="1">
      <c r="A439" s="15" t="n">
        <v>438</v>
      </c>
      <c r="B439" s="15" t="inlineStr">
        <is>
          <t>2017-10-11</t>
        </is>
      </c>
      <c r="C439" s="16" t="inlineStr">
        <is>
          <t>gestion.pe</t>
        </is>
      </c>
      <c r="D439" s="16" t="inlineStr">
        <is>
          <t>Ferreycorp</t>
        </is>
      </c>
      <c r="E439" s="17" t="inlineStr">
        <is>
          <t>Segundo paquete de medidas para mejorar competitividad del sector exportador estará listo este año</t>
        </is>
      </c>
      <c r="F439" s="19" t="inlineStr">
        <is>
          <t>Z_sector_macro</t>
        </is>
      </c>
      <c r="G439" s="19" t="n"/>
      <c r="H439" s="20" t="n"/>
      <c r="I439" s="19" t="n"/>
      <c r="J439" s="18" t="inlineStr">
        <is>
          <t>https://gestion.pe/economia/segundo-paquete-medidas-mejorar-competitividad-sector-exportador-estara-listo-este-ano-2202074</t>
        </is>
      </c>
    </row>
    <row r="440" ht="28.05" customHeight="1">
      <c r="A440" s="15" t="n">
        <v>439</v>
      </c>
      <c r="B440" s="15" t="inlineStr">
        <is>
          <t>2016-03-10</t>
        </is>
      </c>
      <c r="C440" s="16" t="inlineStr">
        <is>
          <t>gestion.pe</t>
        </is>
      </c>
      <c r="D440" s="16" t="inlineStr">
        <is>
          <t>Cementos Pacasmayo</t>
        </is>
      </c>
      <c r="E440" s="17" t="inlineStr">
        <is>
          <t>Décimo road show de inPerú en Nueva York reunió a más de 450 inversionistas</t>
        </is>
      </c>
      <c r="F440" s="19" t="inlineStr">
        <is>
          <t>Z_mencion_incidental</t>
        </is>
      </c>
      <c r="G440" s="19" t="n"/>
      <c r="H440" s="20" t="inlineStr">
        <is>
          <t>x</t>
        </is>
      </c>
      <c r="I440" s="19" t="inlineStr">
        <is>
          <t>Road show de inPeru (ver fila 182).</t>
        </is>
      </c>
      <c r="J440" s="18" t="inlineStr">
        <is>
          <t>http://gestion.pe/economia/decimo-road-show-inperu-nueva-york-reunio-mas-450-inversionistas-2156144</t>
        </is>
      </c>
    </row>
    <row r="441" ht="28.05" customHeight="1">
      <c r="A441" s="15" t="n">
        <v>440</v>
      </c>
      <c r="B441" s="15" t="inlineStr">
        <is>
          <t>2023-10-18</t>
        </is>
      </c>
      <c r="C441" s="16" t="inlineStr">
        <is>
          <t>gestion.pe</t>
        </is>
      </c>
      <c r="D441" s="16" t="inlineStr">
        <is>
          <t>Minsur</t>
        </is>
      </c>
      <c r="E441" s="17" t="inlineStr">
        <is>
          <t>Fitch mantiene calificación de Minsur, pero revisa perspectiva, ¿qué pasó?</t>
        </is>
      </c>
      <c r="F441" s="19" t="inlineStr">
        <is>
          <t>C_analisis_opinion</t>
        </is>
      </c>
      <c r="G441" s="19" t="inlineStr">
        <is>
          <t>neutral</t>
        </is>
      </c>
      <c r="H441" s="20" t="inlineStr">
        <is>
          <t>x</t>
        </is>
      </c>
      <c r="I441" s="19" t="inlineStr">
        <is>
          <t>Fitch mantiene la calificacion y revisa la perspectiva sin que el titular diga en que direccion.</t>
        </is>
      </c>
      <c r="J441" s="18" t="inlineStr">
        <is>
          <t>https://gestion.pe/economia/empresas/fitch-ratings-minsur-mineria-fitch-mantiene-calificacion-de-minsur-pero-revisa-perspectiva-que-paso-noticia/</t>
        </is>
      </c>
    </row>
    <row r="442" ht="28.05" customHeight="1">
      <c r="A442" s="15" t="n">
        <v>441</v>
      </c>
      <c r="B442" s="15" t="inlineStr">
        <is>
          <t>2023-02-17</t>
        </is>
      </c>
      <c r="C442" s="16" t="inlineStr">
        <is>
          <t>larepublica.pe</t>
        </is>
      </c>
      <c r="D442" s="16" t="inlineStr">
        <is>
          <t>Banco de Credito del Peru (BCP)</t>
        </is>
      </c>
      <c r="E442" s="17" t="inlineStr">
        <is>
          <t>Precio del dólar abre al alza y cotiza en S/3,8533 este viernes 17 de febrero del 2023</t>
        </is>
      </c>
      <c r="F442" s="19" t="inlineStr">
        <is>
          <t>Z_mencion_incidental</t>
        </is>
      </c>
      <c r="G442" s="19" t="n"/>
      <c r="H442" s="20" t="n"/>
      <c r="I442" s="19" t="inlineStr">
        <is>
          <t>Tipo de cambio.</t>
        </is>
      </c>
      <c r="J442" s="18" t="inlineStr">
        <is>
          <t>https://larepublica.pe/economia/2023/02/17/tipo-de-cambio-precio-del-dolar-abre-al-alza-y-cotiza-en-s38533hoy-viernes-17-de-febrero-del-2023-242454</t>
        </is>
      </c>
    </row>
    <row r="443" ht="28.05" customHeight="1">
      <c r="A443" s="15" t="n">
        <v>442</v>
      </c>
      <c r="B443" s="15" t="inlineStr">
        <is>
          <t>2018-07-23</t>
        </is>
      </c>
      <c r="C443" s="16" t="inlineStr">
        <is>
          <t>elcomercio.pe</t>
        </is>
      </c>
      <c r="D443" s="16" t="inlineStr">
        <is>
          <t>Minsur</t>
        </is>
      </c>
      <c r="E443" s="17" t="inlineStr">
        <is>
          <t>BVL cierra al alza, a su mejor nivel de casi un mes</t>
        </is>
      </c>
      <c r="F443" s="19" t="inlineStr">
        <is>
          <t>Z_indice_bursatil</t>
        </is>
      </c>
      <c r="G443" s="19" t="n"/>
      <c r="H443" s="20" t="n"/>
      <c r="I443" s="19" t="n"/>
      <c r="J443" s="18" t="inlineStr">
        <is>
          <t>http://elcomercio.pe/economia/bvl-cierra-alza-mejor-nivel-mes-noticia-539134</t>
        </is>
      </c>
    </row>
    <row r="444" ht="28.05" customHeight="1">
      <c r="A444" s="15" t="n">
        <v>443</v>
      </c>
      <c r="B444" s="15" t="inlineStr">
        <is>
          <t>2018-09-07</t>
        </is>
      </c>
      <c r="C444" s="16" t="inlineStr">
        <is>
          <t>elcomercio.pe</t>
        </is>
      </c>
      <c r="D444" s="16" t="inlineStr">
        <is>
          <t>Minsur</t>
        </is>
      </c>
      <c r="E444" s="17" t="inlineStr">
        <is>
          <t>BVL cierra la semana con índices mixtos ante incertidumbre por tensiones comerciales</t>
        </is>
      </c>
      <c r="F444" s="19" t="inlineStr">
        <is>
          <t>Z_indice_bursatil</t>
        </is>
      </c>
      <c r="G444" s="19" t="n"/>
      <c r="H444" s="20" t="n"/>
      <c r="I444" s="19" t="n"/>
      <c r="J444" s="18" t="inlineStr">
        <is>
          <t>http://elcomercio.pe/economia/mercados/bvl-cierra-semana-indices-mixtos-medio-incertidumbre-tensiones-comerciales-noticia-nndc-555135</t>
        </is>
      </c>
    </row>
    <row r="445" ht="28.05" customHeight="1">
      <c r="A445" s="15" t="n">
        <v>444</v>
      </c>
      <c r="B445" s="15" t="inlineStr">
        <is>
          <t>2018-02-08</t>
        </is>
      </c>
      <c r="C445" s="16" t="inlineStr">
        <is>
          <t>gestion.pe</t>
        </is>
      </c>
      <c r="D445" s="16" t="inlineStr">
        <is>
          <t>InRetail Peru Corp</t>
        </is>
      </c>
      <c r="E445" s="17" t="inlineStr">
        <is>
          <t>Inkafarma: Sí es viable que farmacias cuenten con un stock mínimo de genéricos</t>
        </is>
      </c>
      <c r="F445" s="19" t="inlineStr">
        <is>
          <t>A_regulatorio_material</t>
        </is>
      </c>
      <c r="G445" s="19" t="inlineStr">
        <is>
          <t>neutral</t>
        </is>
      </c>
      <c r="H445" s="20" t="inlineStr">
        <is>
          <t>x</t>
        </is>
      </c>
      <c r="I445" s="19" t="inlineStr">
        <is>
          <t>Norma de stock minimo de genericos para farmacias, con Inkafarma como parte. Alternativa: B_operacional.</t>
        </is>
      </c>
      <c r="J445" s="18" t="inlineStr">
        <is>
          <t>http://gestion.pe/economia/inkafarma-viable-farmacias-cuenten-stock-minimo-genericos-226786</t>
        </is>
      </c>
    </row>
    <row r="446" ht="28.05" customHeight="1">
      <c r="A446" s="15" t="n">
        <v>445</v>
      </c>
      <c r="B446" s="15" t="inlineStr">
        <is>
          <t>2025-10-16</t>
        </is>
      </c>
      <c r="C446" s="16" t="inlineStr">
        <is>
          <t>larepublica.pe</t>
        </is>
      </c>
      <c r="D446" s="16" t="inlineStr">
        <is>
          <t>InRetail Peru Corp</t>
        </is>
      </c>
      <c r="E446" s="17" t="inlineStr">
        <is>
          <t>Intercorp construirá nuevo centro comercial en Trujillo tras el accidente del Real Plaza</t>
        </is>
      </c>
      <c r="F446" s="19" t="inlineStr">
        <is>
          <t>B_estrategia_inversion</t>
        </is>
      </c>
      <c r="G446" s="19" t="inlineStr">
        <is>
          <t>neutral</t>
        </is>
      </c>
      <c r="H446" s="20" t="inlineStr">
        <is>
          <t>x</t>
        </is>
      </c>
      <c r="I446" s="19" t="inlineStr">
        <is>
          <t>Nuevo centro comercial de Intercorp tras el accidente del Real Plaza: el hecho principal es la inversion.</t>
        </is>
      </c>
      <c r="J446" s="18" t="inlineStr">
        <is>
          <t>https://larepublica.pe/economia/2025/10/16/intercorp-construira-nuevo-centro-comercial-en-trujillo-tras-el-accidente-del-real-plaza-sera-el-primer-mall-de-una-marca-en-crecimiento-atmp-1108896</t>
        </is>
      </c>
    </row>
    <row r="447" ht="28.05" customHeight="1">
      <c r="A447" s="15" t="n">
        <v>446</v>
      </c>
      <c r="B447" s="15" t="inlineStr">
        <is>
          <t>2023-06-13</t>
        </is>
      </c>
      <c r="C447" s="16" t="inlineStr">
        <is>
          <t>gestion.pe</t>
        </is>
      </c>
      <c r="D447" s="16" t="inlineStr">
        <is>
          <t>Compania de Minas Buenaventura</t>
        </is>
      </c>
      <c r="E447" s="17" t="inlineStr">
        <is>
          <t>BVL cierra al alza tras revelarse dato de inflación de Estados Unidos</t>
        </is>
      </c>
      <c r="F447" s="19" t="inlineStr">
        <is>
          <t>Z_indice_bursatil</t>
        </is>
      </c>
      <c r="G447" s="19" t="n"/>
      <c r="H447" s="20" t="n"/>
      <c r="I447" s="19" t="n"/>
      <c r="J447" s="18" t="inlineStr">
        <is>
          <t>https://gestion.pe/economia/mercados/bvl-cierra-al-alza-tras-revelarse-dato-de-inflacion-de-estados-unidos-noticia/</t>
        </is>
      </c>
    </row>
    <row r="448" ht="28.05" customHeight="1">
      <c r="A448" s="15" t="n">
        <v>447</v>
      </c>
      <c r="B448" s="15" t="inlineStr">
        <is>
          <t>2024-10-13</t>
        </is>
      </c>
      <c r="C448" s="16" t="inlineStr">
        <is>
          <t>gestion.pe</t>
        </is>
      </c>
      <c r="D448" s="16" t="inlineStr">
        <is>
          <t>Luz del Sur</t>
        </is>
      </c>
      <c r="E448" s="17" t="inlineStr">
        <is>
          <t>Con US$ 4.5 mllns: los planes de Luz del Sur en electromovilidad e infraestructura</t>
        </is>
      </c>
      <c r="F448" s="19" t="inlineStr">
        <is>
          <t>B_estrategia_inversion</t>
        </is>
      </c>
      <c r="G448" s="19" t="inlineStr">
        <is>
          <t>positivo</t>
        </is>
      </c>
      <c r="H448" s="20" t="n"/>
      <c r="I448" s="19" t="inlineStr">
        <is>
          <t>Inversion en electromovilidad e infraestructura.</t>
        </is>
      </c>
      <c r="J448" s="18" t="inlineStr">
        <is>
          <t>https://gestion.pe/economia/empresas/con-us-45-mllns-los-planes-de-luz-del-sur-en-electromovilidad-e-infraestructura-noticia/</t>
        </is>
      </c>
    </row>
    <row r="449" ht="28.05" customHeight="1">
      <c r="A449" s="15" t="n">
        <v>448</v>
      </c>
      <c r="B449" s="15" t="inlineStr">
        <is>
          <t>2025-08-11</t>
        </is>
      </c>
      <c r="C449" s="16" t="inlineStr">
        <is>
          <t>gestion.pe</t>
        </is>
      </c>
      <c r="D449" s="16" t="inlineStr">
        <is>
          <t>Alicorp</t>
        </is>
      </c>
      <c r="E449" s="17" t="inlineStr">
        <is>
          <t>Alicorp cambiará materia prima con el que fabrican detergentes, ¿de qué trata?</t>
        </is>
      </c>
      <c r="F449" s="19" t="inlineStr">
        <is>
          <t>B_operacional</t>
        </is>
      </c>
      <c r="G449" s="19" t="inlineStr">
        <is>
          <t>neutral</t>
        </is>
      </c>
      <c r="H449" s="20" t="n"/>
      <c r="I449" s="19" t="inlineStr">
        <is>
          <t>Cambio de materia prima en detergentes.</t>
        </is>
      </c>
      <c r="J449" s="18" t="inlineStr">
        <is>
          <t>https://gestion.pe/economia/empresas/alicorp-cambia-insumo-para-la-fabricacion-de-sus-detergentes-de-que-trata-noticia/</t>
        </is>
      </c>
    </row>
    <row r="450" ht="28.05" customHeight="1">
      <c r="A450" s="15" t="n">
        <v>449</v>
      </c>
      <c r="B450" s="15" t="inlineStr">
        <is>
          <t>2021-08-17</t>
        </is>
      </c>
      <c r="C450" s="16" t="inlineStr">
        <is>
          <t>gestion.pe</t>
        </is>
      </c>
      <c r="D450" s="16" t="inlineStr">
        <is>
          <t>Banco de Credito del Peru (BCP)</t>
        </is>
      </c>
      <c r="E450" s="17" t="inlineStr">
        <is>
          <t>¿Qué pasó en GESTIÓN un día como hoy, 17 de Agosto?</t>
        </is>
      </c>
      <c r="F450" s="19" t="inlineStr">
        <is>
          <t>Z_no_relevante</t>
        </is>
      </c>
      <c r="G450" s="19" t="n"/>
      <c r="H450" s="20" t="n"/>
      <c r="I450" s="19" t="n"/>
      <c r="J450" s="18" t="inlineStr">
        <is>
          <t>https://gestion.pe/tendencias/que-paso-en-gestion-un-dia-como-hoy-17-de-agosto-noticia-2/</t>
        </is>
      </c>
    </row>
    <row r="451" ht="28.05" customHeight="1">
      <c r="A451" s="15" t="n">
        <v>450</v>
      </c>
      <c r="B451" s="15" t="inlineStr">
        <is>
          <t>2018-08-29</t>
        </is>
      </c>
      <c r="C451" s="16" t="inlineStr">
        <is>
          <t>elcomercio.pe</t>
        </is>
      </c>
      <c r="D451" s="16" t="inlineStr">
        <is>
          <t>Banco de Credito del Peru (BCP)</t>
        </is>
      </c>
      <c r="E451" s="17" t="inlineStr">
        <is>
          <t>Bolsa de Valores de Lima opera con resultados mixtos</t>
        </is>
      </c>
      <c r="F451" s="19" t="inlineStr">
        <is>
          <t>Z_indice_bursatil</t>
        </is>
      </c>
      <c r="G451" s="19" t="n"/>
      <c r="H451" s="20" t="n"/>
      <c r="I451" s="19" t="n"/>
      <c r="J451" s="18" t="inlineStr">
        <is>
          <t>http://elcomercio.pe/economia/mercados/bolsa-valores-lima-opera-resultados-mixtos-noticia-nndc-551845</t>
        </is>
      </c>
    </row>
    <row r="452" ht="28.05" customHeight="1">
      <c r="A452" s="15" t="n">
        <v>451</v>
      </c>
      <c r="B452" s="15" t="inlineStr">
        <is>
          <t>2024-09-10</t>
        </is>
      </c>
      <c r="C452" s="16" t="inlineStr">
        <is>
          <t>elcomercio.pe</t>
        </is>
      </c>
      <c r="D452" s="16" t="inlineStr">
        <is>
          <t>Cementos Pacasmayo</t>
        </is>
      </c>
      <c r="E452" s="17" t="inlineStr">
        <is>
          <t>Dólar por encima de los S/3,80: ¿qué tendencia se puede esperar hacia el cierre del año?</t>
        </is>
      </c>
      <c r="F452" s="19" t="inlineStr">
        <is>
          <t>Z_sector_macro</t>
        </is>
      </c>
      <c r="G452" s="19" t="n"/>
      <c r="H452" s="20" t="n"/>
      <c r="I452" s="19" t="inlineStr">
        <is>
          <t>Analisis de la tendencia cambiaria.</t>
        </is>
      </c>
      <c r="J452" s="18" t="inlineStr">
        <is>
          <t>https://elcomercio.pe/economia/dolar-por-encima-de-los-s380-que-tendencia-se-puede-esperar-hacia-el-cierre-del-ano-noticia/</t>
        </is>
      </c>
    </row>
    <row r="453" ht="28.05" customHeight="1">
      <c r="A453" s="15" t="n">
        <v>452</v>
      </c>
      <c r="B453" s="15" t="inlineStr">
        <is>
          <t>2025-03-07</t>
        </is>
      </c>
      <c r="C453" s="16" t="inlineStr">
        <is>
          <t>larepublica.pe</t>
        </is>
      </c>
      <c r="D453" s="16" t="inlineStr">
        <is>
          <t>Banco de Credito del Peru (BCP)</t>
        </is>
      </c>
      <c r="E453" s="17" t="inlineStr">
        <is>
          <t>Estancamiento: el 44% de peruanos no puede cubrir sus gastos mensuales de hogar</t>
        </is>
      </c>
      <c r="F453" s="19" t="inlineStr">
        <is>
          <t>Z_sector_macro</t>
        </is>
      </c>
      <c r="G453" s="19" t="n"/>
      <c r="H453" s="20" t="n"/>
      <c r="I453" s="19" t="n"/>
      <c r="J453" s="18" t="inlineStr">
        <is>
          <t>https://larepublica.pe/economia/2025/03/07/sueldos-44-de-peruanos-no-puede-cubrir-sus-gastos-mensuales-de-hogar-economia-peruana-finanzas-hnews-189516</t>
        </is>
      </c>
    </row>
    <row r="454" ht="28.05" customHeight="1">
      <c r="A454" s="15" t="n">
        <v>453</v>
      </c>
      <c r="B454" s="15" t="inlineStr">
        <is>
          <t>2023-05-09</t>
        </is>
      </c>
      <c r="C454" s="16" t="inlineStr">
        <is>
          <t>gestion.pe</t>
        </is>
      </c>
      <c r="D454" s="16" t="inlineStr">
        <is>
          <t>Compania de Minas Buenaventura</t>
        </is>
      </c>
      <c r="E454" s="17" t="inlineStr">
        <is>
          <t>BVL cierra al alza mientras los inversionistas esperan los datos de inflación de EE.UU.</t>
        </is>
      </c>
      <c r="F454" s="19" t="inlineStr">
        <is>
          <t>Z_indice_bursatil</t>
        </is>
      </c>
      <c r="G454" s="19" t="n"/>
      <c r="H454" s="20" t="n"/>
      <c r="I454" s="19" t="n"/>
      <c r="J454" s="18" t="inlineStr">
        <is>
          <t>https://gestion.pe/economia/mercados/bvl-cierra-al-alza-mientras-los-inversionistas-esperan-los-datos-de-inflacion-de-eeuu-noticia/</t>
        </is>
      </c>
    </row>
    <row r="455" ht="28.05" customHeight="1">
      <c r="A455" s="15" t="n">
        <v>454</v>
      </c>
      <c r="B455" s="15" t="inlineStr">
        <is>
          <t>2023-03-07</t>
        </is>
      </c>
      <c r="C455" s="16" t="inlineStr">
        <is>
          <t>gestion.pe</t>
        </is>
      </c>
      <c r="D455" s="16" t="inlineStr">
        <is>
          <t>Banco de Credito del Peru (BCP)</t>
        </is>
      </c>
      <c r="E455" s="17" t="inlineStr">
        <is>
          <t>Lava Jato | Cinco claves del caso Odebrecht en Perú ante inminente extradición de Toledo | PERU</t>
        </is>
      </c>
      <c r="F455" s="19" t="inlineStr">
        <is>
          <t>Z_no_relevante</t>
        </is>
      </c>
      <c r="G455" s="19" t="n"/>
      <c r="H455" s="20" t="n"/>
      <c r="I455" s="19" t="n"/>
      <c r="J455" s="18" t="inlineStr">
        <is>
          <t>https://gestion.pe/peru/politica/lava-jato-cinco-claves-del-caso-odebrecht-en-peru-ante-inminente-extradicion-de-toledo-noticia/</t>
        </is>
      </c>
    </row>
    <row r="456" ht="28.05" customHeight="1">
      <c r="A456" s="15" t="n">
        <v>455</v>
      </c>
      <c r="B456" s="15" t="inlineStr">
        <is>
          <t>2020-04-14</t>
        </is>
      </c>
      <c r="C456" s="16" t="inlineStr">
        <is>
          <t>elcomercio.pe</t>
        </is>
      </c>
      <c r="D456" s="16" t="inlineStr">
        <is>
          <t>Luz del Sur</t>
        </is>
      </c>
      <c r="E456" s="17" t="inlineStr">
        <is>
          <t>Ministerio de Economía anuncia nuevo paquete de medidas tributarias para empresas afectadas por el coronavirus</t>
        </is>
      </c>
      <c r="F456" s="19" t="inlineStr">
        <is>
          <t>Z_sector_macro</t>
        </is>
      </c>
      <c r="G456" s="19" t="n"/>
      <c r="H456" s="20" t="n"/>
      <c r="I456" s="19" t="inlineStr">
        <is>
          <t>Medidas tributarias generales.</t>
        </is>
      </c>
      <c r="J456" s="18" t="inlineStr">
        <is>
          <t>https://elcomercio.pe/economia/peru/coronavirus-peru-ministerio-de-economia-anuncia-nuevo-paquete-de-medidas-tributarias-para-empresas-afectadas-por-el-coronavirus-nndc-noticia/</t>
        </is>
      </c>
    </row>
    <row r="457" ht="28.05" customHeight="1">
      <c r="A457" s="15" t="n">
        <v>456</v>
      </c>
      <c r="B457" s="15" t="inlineStr">
        <is>
          <t>2023-10-02</t>
        </is>
      </c>
      <c r="C457" s="16" t="inlineStr">
        <is>
          <t>larepublica.pe</t>
        </is>
      </c>
      <c r="D457" s="16" t="inlineStr">
        <is>
          <t>InRetail Peru Corp</t>
        </is>
      </c>
      <c r="E457" s="17" t="inlineStr">
        <is>
          <t>Extranjera compara precios de supermercados en Perú y sorprende al revelar cuál es el más barato</t>
        </is>
      </c>
      <c r="F457" s="19" t="inlineStr">
        <is>
          <t>Z_mencion_incidental</t>
        </is>
      </c>
      <c r="G457" s="19" t="n"/>
      <c r="H457" s="20" t="n"/>
      <c r="I457" s="19" t="inlineStr">
        <is>
          <t>Comparacion de precios entre supermercados.</t>
        </is>
      </c>
      <c r="J457" s="18" t="inlineStr">
        <is>
          <t>https://larepublica.pe/tendencias/video-viral/2023/10/02/video-viral-extranjera-compara-precios-de-supermercados-en-peru-y-sorprende-al-revelar-cual-es-el-mas-barato-34680</t>
        </is>
      </c>
    </row>
    <row r="458" ht="28.05" customHeight="1">
      <c r="A458" s="15" t="n">
        <v>457</v>
      </c>
      <c r="B458" s="15" t="inlineStr">
        <is>
          <t>2018-02-28</t>
        </is>
      </c>
      <c r="C458" s="16" t="inlineStr">
        <is>
          <t>elcomercio.pe</t>
        </is>
      </c>
      <c r="D458" s="16" t="inlineStr">
        <is>
          <t>Compania de Minas Buenaventura</t>
        </is>
      </c>
      <c r="E458" s="17" t="inlineStr">
        <is>
          <t>Buenaventura: ¿por qué no apostó por Michiquillay?</t>
        </is>
      </c>
      <c r="F458" s="19" t="inlineStr">
        <is>
          <t>B_estrategia_inversion</t>
        </is>
      </c>
      <c r="G458" s="19" t="inlineStr">
        <is>
          <t>neutral</t>
        </is>
      </c>
      <c r="H458" s="20" t="inlineStr">
        <is>
          <t>x</t>
        </is>
      </c>
      <c r="I458" s="19" t="inlineStr">
        <is>
          <t>Decision de no participar en Michiquillay.</t>
        </is>
      </c>
      <c r="J458" s="18" t="n"/>
    </row>
    <row r="459" ht="28.05" customHeight="1">
      <c r="A459" s="15" t="n">
        <v>458</v>
      </c>
      <c r="B459" s="15" t="inlineStr">
        <is>
          <t>2015-11-09</t>
        </is>
      </c>
      <c r="C459" s="16" t="inlineStr">
        <is>
          <t>larepublica.pe</t>
        </is>
      </c>
      <c r="D459" s="16" t="inlineStr">
        <is>
          <t>InRetail Peru Corp</t>
        </is>
      </c>
      <c r="E459" s="17" t="inlineStr">
        <is>
          <t>Vivo x el rock 6: revelan horarios y distribución de las bandas en los cuatro escenarios</t>
        </is>
      </c>
      <c r="F459" s="19" t="inlineStr">
        <is>
          <t>Z_no_relevante</t>
        </is>
      </c>
      <c r="G459" s="19" t="n"/>
      <c r="H459" s="20" t="n"/>
      <c r="I459" s="19" t="n"/>
      <c r="J459" s="18" t="inlineStr">
        <is>
          <t>http://larepublica.pe/espectaculos/717042-vivo-x-el-rock-6-revelan-horarios-y-distribucion-de-las-bandas-en-los-cuatro-escenarios</t>
        </is>
      </c>
    </row>
    <row r="460" ht="28.05" customHeight="1">
      <c r="A460" s="15" t="n">
        <v>459</v>
      </c>
      <c r="B460" s="15" t="inlineStr">
        <is>
          <t>2023-12-29</t>
        </is>
      </c>
      <c r="C460" s="16" t="inlineStr">
        <is>
          <t>gestion.pe</t>
        </is>
      </c>
      <c r="D460" s="16" t="inlineStr">
        <is>
          <t>InRetail Peru Corp</t>
        </is>
      </c>
      <c r="E460" s="17" t="inlineStr">
        <is>
          <t>Dinero | Riqueza | Las 17 familias más ricas del Perú superaron un patrimonio de US$ 24,680 mlls. en 2023 | ECONOMIA</t>
        </is>
      </c>
      <c r="F460" s="19" t="inlineStr">
        <is>
          <t>Z_mencion_incidental</t>
        </is>
      </c>
      <c r="G460" s="19" t="n"/>
      <c r="H460" s="20" t="n"/>
      <c r="I460" s="19" t="inlineStr">
        <is>
          <t>Ranking de familias mas ricas.</t>
        </is>
      </c>
      <c r="J460" s="18" t="inlineStr">
        <is>
          <t>https://gestion.pe/economia/empresas/dinero-riqueza-las-17-familias-mas-ricas-del-peru-acumularon-un-patrimonio-de-us-24680-en-2023-noticia/</t>
        </is>
      </c>
    </row>
    <row r="461" ht="28.05" customHeight="1">
      <c r="A461" s="15" t="n">
        <v>460</v>
      </c>
      <c r="B461" s="15" t="inlineStr">
        <is>
          <t>2025-09-23</t>
        </is>
      </c>
      <c r="C461" s="16" t="inlineStr">
        <is>
          <t>gestion.pe</t>
        </is>
      </c>
      <c r="D461" s="16" t="inlineStr">
        <is>
          <t>Saga Falabella</t>
        </is>
      </c>
      <c r="E461" s="17" t="inlineStr">
        <is>
          <t>“Call centers” en la mira: Indecopi usa IA y detecta llamadas sin consentimiento</t>
        </is>
      </c>
      <c r="F461" s="19" t="inlineStr">
        <is>
          <t>Z_sector_macro</t>
        </is>
      </c>
      <c r="G461" s="19" t="n"/>
      <c r="H461" s="20" t="inlineStr">
        <is>
          <t>x</t>
        </is>
      </c>
      <c r="I461" s="19" t="inlineStr">
        <is>
          <t>Fiscalizacion de call centers, alcanza al retail en general.</t>
        </is>
      </c>
      <c r="J461" s="18" t="n"/>
    </row>
    <row r="462" ht="28.05" customHeight="1">
      <c r="A462" s="15" t="n">
        <v>461</v>
      </c>
      <c r="B462" s="15" t="inlineStr">
        <is>
          <t>2023-11-12</t>
        </is>
      </c>
      <c r="C462" s="16" t="inlineStr">
        <is>
          <t>gestion.pe</t>
        </is>
      </c>
      <c r="D462" s="16" t="inlineStr">
        <is>
          <t>InRetail Peru Corp</t>
        </is>
      </c>
      <c r="E462" s="17" t="inlineStr">
        <is>
          <t>Empanacombi y Mama Qucha: dos empresas sociales que rompen el mito sobre la rentabilidad en Perú</t>
        </is>
      </c>
      <c r="F462" s="19" t="inlineStr">
        <is>
          <t>Z_no_relevante</t>
        </is>
      </c>
      <c r="G462" s="19" t="n"/>
      <c r="H462" s="20" t="n"/>
      <c r="I462" s="19" t="n"/>
      <c r="J462" s="18" t="inlineStr">
        <is>
          <t>https://gestion.pe/economia/empresas/empanacombi-y-mama-qucha-dos-empresas-sociales-que-rompen-el-mito-sobre-la-rentabilidad-en-peru-kunan-laboratoria-noticia/</t>
        </is>
      </c>
    </row>
    <row r="463" ht="28.05" customHeight="1">
      <c r="A463" s="15" t="n">
        <v>462</v>
      </c>
      <c r="B463" s="15" t="inlineStr">
        <is>
          <t>2019-03-25</t>
        </is>
      </c>
      <c r="C463" s="16" t="inlineStr">
        <is>
          <t>elcomercio.pe</t>
        </is>
      </c>
      <c r="D463" s="16" t="inlineStr">
        <is>
          <t>Minsur</t>
        </is>
      </c>
      <c r="E463" s="17" t="inlineStr">
        <is>
          <t>BVL cierra con baja de 0,13% por retroceso de acciones en sector consumo</t>
        </is>
      </c>
      <c r="F463" s="19" t="inlineStr">
        <is>
          <t>Z_indice_bursatil</t>
        </is>
      </c>
      <c r="G463" s="19" t="n"/>
      <c r="H463" s="20" t="n"/>
      <c r="I463" s="19" t="n"/>
      <c r="J463" s="18" t="inlineStr">
        <is>
          <t>http://elcomercio.pe/economia/mercados/bvl-cierra-baja-0-13-retroceso-acciones-sector-consumo-noticia-nndc-620254</t>
        </is>
      </c>
    </row>
    <row r="464" ht="28.05" customHeight="1">
      <c r="A464" s="15" t="n">
        <v>463</v>
      </c>
      <c r="B464" s="15" t="inlineStr">
        <is>
          <t>2024-12-09</t>
        </is>
      </c>
      <c r="C464" s="16" t="inlineStr">
        <is>
          <t>gestion.pe</t>
        </is>
      </c>
      <c r="D464" s="16" t="inlineStr">
        <is>
          <t>Minsur</t>
        </is>
      </c>
      <c r="E464" s="17" t="inlineStr">
        <is>
          <t>Tork de Essity tras el mercado agroindustrial y horeca: ¿descentralización en marcha?</t>
        </is>
      </c>
      <c r="F464" s="19" t="inlineStr">
        <is>
          <t>Z_no_relevante</t>
        </is>
      </c>
      <c r="G464" s="19" t="n"/>
      <c r="H464" s="20" t="n"/>
      <c r="I464" s="19" t="n"/>
      <c r="J464" s="18" t="inlineStr">
        <is>
          <t>https://gestion.pe/economia/empresas/tork-de-essity-tras-el-mercado-agroindustrial-y-horeca-descentralizacion-en-marcha-higiene-profesional-essity-trujillo-arequipa-piura-noticia/</t>
        </is>
      </c>
    </row>
    <row r="465" ht="28.05" customHeight="1">
      <c r="A465" s="15" t="n">
        <v>464</v>
      </c>
      <c r="B465" s="15" t="inlineStr">
        <is>
          <t>2022-05-24</t>
        </is>
      </c>
      <c r="C465" s="16" t="inlineStr">
        <is>
          <t>larepublica.pe</t>
        </is>
      </c>
      <c r="D465" s="16" t="inlineStr">
        <is>
          <t>Banco de Credito del Peru (BCP)</t>
        </is>
      </c>
      <c r="E465" s="17" t="inlineStr">
        <is>
          <t>¿A cuánto está el dólar hoy? Precio de compra y venta este 24 de mayo en Perú</t>
        </is>
      </c>
      <c r="F465" s="19" t="inlineStr">
        <is>
          <t>Z_mencion_incidental</t>
        </is>
      </c>
      <c r="G465" s="19" t="n"/>
      <c r="H465" s="20" t="n"/>
      <c r="I465" s="19" t="inlineStr">
        <is>
          <t>Tipo de cambio.</t>
        </is>
      </c>
      <c r="J465" s="18" t="inlineStr">
        <is>
          <t>https://larepublica.pe/economia/precio-del-dolar/2022/05/24/como-esta-el-dolar-hoy-cuanto-esta-la-compra-y-venta-de-dolares-en-peru-atmp/</t>
        </is>
      </c>
    </row>
    <row r="466" ht="28.05" customHeight="1">
      <c r="A466" s="15" t="n">
        <v>465</v>
      </c>
      <c r="B466" s="15" t="inlineStr">
        <is>
          <t>2023-07-31</t>
        </is>
      </c>
      <c r="C466" s="16" t="inlineStr">
        <is>
          <t>elcomercio.pe</t>
        </is>
      </c>
      <c r="D466" s="16" t="inlineStr">
        <is>
          <t>Banco de Credito del Peru (BCP)</t>
        </is>
      </c>
      <c r="E466" s="17" t="inlineStr">
        <is>
          <t>Código promocional 1xbet “ELCOM” válido en 2023</t>
        </is>
      </c>
      <c r="F466" s="19" t="inlineStr">
        <is>
          <t>Z_no_relevante</t>
        </is>
      </c>
      <c r="G466" s="19" t="n"/>
      <c r="H466" s="20" t="n"/>
      <c r="I466" s="19" t="n"/>
      <c r="J466" s="18" t="inlineStr">
        <is>
          <t>https://elcomercio.pe/publirreportaje/codigo-promocional-1xbet-noticia/</t>
        </is>
      </c>
    </row>
    <row r="467" ht="28.05" customHeight="1">
      <c r="A467" s="15" t="n">
        <v>466</v>
      </c>
      <c r="B467" s="15" t="inlineStr">
        <is>
          <t>2022-06-17</t>
        </is>
      </c>
      <c r="C467" s="16" t="inlineStr">
        <is>
          <t>elcomercio.pe</t>
        </is>
      </c>
      <c r="D467" s="16" t="inlineStr">
        <is>
          <t>Banco de Credito del Peru (BCP)</t>
        </is>
      </c>
      <c r="E467" s="17" t="inlineStr">
        <is>
          <t>Link, Consultas Retiro AFP 2022: cómo registrar la solicitud con DNI</t>
        </is>
      </c>
      <c r="F467" s="19" t="inlineStr">
        <is>
          <t>Z_no_relevante</t>
        </is>
      </c>
      <c r="G467" s="19" t="n"/>
      <c r="H467" s="20" t="n"/>
      <c r="I467" s="19" t="n"/>
      <c r="J467" s="18" t="inlineStr">
        <is>
          <t>https://elcomercio.pe/economia/retiro-afp-2022-consulta-como-retirar-mi-afp-y-revisa-a-que-afp-estas-afiliado-como-hacer-la-solicitud-de-retiro-afp-rmmn-emcc-noticia/</t>
        </is>
      </c>
    </row>
    <row r="468" ht="28.05" customHeight="1">
      <c r="A468" s="15" t="n">
        <v>467</v>
      </c>
      <c r="B468" s="15" t="inlineStr">
        <is>
          <t>2023-04-17</t>
        </is>
      </c>
      <c r="C468" s="16" t="inlineStr">
        <is>
          <t>elcomercio.pe</t>
        </is>
      </c>
      <c r="D468" s="16" t="inlineStr">
        <is>
          <t>Luz del Sur</t>
        </is>
      </c>
      <c r="E468" s="17" t="inlineStr">
        <is>
          <t>China y sus nuevas inversiones en el Perú: ¿Hacia dónde apunta el coloso asiático?</t>
        </is>
      </c>
      <c r="F468" s="19" t="inlineStr">
        <is>
          <t>Z_sector_macro</t>
        </is>
      </c>
      <c r="G468" s="19" t="n"/>
      <c r="H468" s="20" t="inlineStr">
        <is>
          <t>x</t>
        </is>
      </c>
      <c r="I468" s="19" t="inlineStr">
        <is>
          <t>Inversiones chinas en el pais; su matriz es china.</t>
        </is>
      </c>
      <c r="J468" s="18" t="inlineStr">
        <is>
          <t>https://elcomercio.pe/economia/dia-1/china-y-sus-nuevas-inversiones-en-el-peru-hacia-donde-apunta-el-coloso-asiatico-enel-dia-1-servicio-de-electricidad-energia-hidrocarburos-noticia/</t>
        </is>
      </c>
    </row>
    <row r="469" ht="28.05" customHeight="1">
      <c r="A469" s="15" t="n">
        <v>468</v>
      </c>
      <c r="B469" s="15" t="inlineStr">
        <is>
          <t>2025-12-16</t>
        </is>
      </c>
      <c r="C469" s="16" t="inlineStr">
        <is>
          <t>elcomercio.pe</t>
        </is>
      </c>
      <c r="D469" s="16" t="inlineStr">
        <is>
          <t>Cementos Pacasmayo</t>
        </is>
      </c>
      <c r="E469" s="17" t="inlineStr">
        <is>
          <t>Holcim adquirirá participación mayoritaria en Cementos Pacasmayo</t>
        </is>
      </c>
      <c r="F469" s="19" t="inlineStr">
        <is>
          <t>A_ma_reestructuracion</t>
        </is>
      </c>
      <c r="G469" s="19" t="inlineStr">
        <is>
          <t>neutral</t>
        </is>
      </c>
      <c r="H469" s="20" t="inlineStr">
        <is>
          <t>x</t>
        </is>
      </c>
      <c r="I469" s="19" t="inlineStr">
        <is>
          <t>Holcim adquiere el control de Pacasmayo. Se mantiene neutral por la regla de M&amp;A, aunque una toma de control suele traer prima.</t>
        </is>
      </c>
      <c r="J469" s="18" t="inlineStr">
        <is>
          <t>https://elcomercio.pe/economia/peru/holcim-adquirira-participacion-mayoritaria-en-cementos-pacasmayo-l-ultimas-noticia/</t>
        </is>
      </c>
    </row>
    <row r="470" ht="28.05" customHeight="1">
      <c r="A470" s="15" t="n">
        <v>469</v>
      </c>
      <c r="B470" s="15" t="inlineStr">
        <is>
          <t>2025-10-09</t>
        </is>
      </c>
      <c r="C470" s="16" t="inlineStr">
        <is>
          <t>gestion.pe</t>
        </is>
      </c>
      <c r="D470" s="16" t="inlineStr">
        <is>
          <t>InRetail Peru Corp</t>
        </is>
      </c>
      <c r="E470" s="17" t="inlineStr">
        <is>
          <t>Auge cosmético en Perú: tras 350 marcas, otro gigante chino prepara su llegada</t>
        </is>
      </c>
      <c r="F470" s="19" t="inlineStr">
        <is>
          <t>Z_sector_macro</t>
        </is>
      </c>
      <c r="G470" s="19" t="n"/>
      <c r="H470" s="20" t="n"/>
      <c r="I470" s="19" t="inlineStr">
        <is>
          <t>Entrada de competidores en cosmetica.</t>
        </is>
      </c>
      <c r="J470" s="18" t="inlineStr">
        <is>
          <t>https://gestion.pe/economia/empresas/auge-cosmetico-en-peru-tras-350-marcas-otro-gigante-chino-prepara-su-llegada-noticia/</t>
        </is>
      </c>
    </row>
    <row r="471" ht="28.05" customHeight="1">
      <c r="A471" s="15" t="n">
        <v>470</v>
      </c>
      <c r="B471" s="15" t="inlineStr">
        <is>
          <t>2018-07-26</t>
        </is>
      </c>
      <c r="C471" s="16" t="inlineStr">
        <is>
          <t>gestion.pe</t>
        </is>
      </c>
      <c r="D471" s="16" t="inlineStr">
        <is>
          <t>Banco de Credito del Peru (BCP)</t>
        </is>
      </c>
      <c r="E471" s="17" t="inlineStr">
        <is>
          <t>Minera Volcan: Paralización de unidades de Chungar afectó la producción</t>
        </is>
      </c>
      <c r="F471" s="19" t="inlineStr">
        <is>
          <t>Z_no_relevante</t>
        </is>
      </c>
      <c r="G471" s="19" t="n"/>
      <c r="H471" s="20" t="n"/>
      <c r="I471" s="19" t="inlineStr">
        <is>
          <t>Volcan: otra empresa, otro sector.</t>
        </is>
      </c>
      <c r="J471" s="18" t="inlineStr">
        <is>
          <t>http://gestion.pe/economia/minera-volcan-paralizacion-unidades-chungar-afecto-produccion-239704</t>
        </is>
      </c>
    </row>
    <row r="472" ht="28.05" customHeight="1">
      <c r="A472" s="15" t="n">
        <v>471</v>
      </c>
      <c r="B472" s="15" t="inlineStr">
        <is>
          <t>2021-02-10</t>
        </is>
      </c>
      <c r="C472" s="16" t="inlineStr">
        <is>
          <t>gestion.pe</t>
        </is>
      </c>
      <c r="D472" s="16" t="inlineStr">
        <is>
          <t>InRetail Peru Corp</t>
        </is>
      </c>
      <c r="E472" s="17" t="inlineStr">
        <is>
          <t>Los 40 principales grupos empresariales, en recuperación paulatina</t>
        </is>
      </c>
      <c r="F472" s="19" t="inlineStr">
        <is>
          <t>Z_mencion_incidental</t>
        </is>
      </c>
      <c r="G472" s="19" t="n"/>
      <c r="H472" s="20" t="n"/>
      <c r="I472" s="19" t="inlineStr">
        <is>
          <t>Ranking de grupos empresariales.</t>
        </is>
      </c>
      <c r="J472" s="18" t="inlineStr">
        <is>
          <t>https://gestion.pe/economia/empresas/los-40-principales-grupos-empresariales-en-recuperacion-paulatina-noticia/</t>
        </is>
      </c>
    </row>
    <row r="473" ht="28.05" customHeight="1">
      <c r="A473" s="15" t="n">
        <v>472</v>
      </c>
      <c r="B473" s="15" t="inlineStr">
        <is>
          <t>2017-02-18</t>
        </is>
      </c>
      <c r="C473" s="16" t="inlineStr">
        <is>
          <t>elcomercio.pe</t>
        </is>
      </c>
      <c r="D473" s="16" t="inlineStr">
        <is>
          <t>Cementos Pacasmayo</t>
        </is>
      </c>
      <c r="E473" s="17" t="inlineStr">
        <is>
          <t>Resultados financieros: Lo bueno, lo malo y lo feo del 2016</t>
        </is>
      </c>
      <c r="F473" s="19" t="inlineStr">
        <is>
          <t>Z_mencion_incidental</t>
        </is>
      </c>
      <c r="G473" s="19" t="n"/>
      <c r="H473" s="20" t="inlineStr">
        <is>
          <t>x</t>
        </is>
      </c>
      <c r="I473" s="19" t="inlineStr">
        <is>
          <t>Balance de resultados de varias empresas, no solo de Pacasmayo.</t>
        </is>
      </c>
      <c r="J473" s="18" t="inlineStr">
        <is>
          <t>http://elcomercio.pe/economia/peru/resultados-financieros-lo-bueno-lo-malo-y-lo-feo-2016-noticia-1969712</t>
        </is>
      </c>
    </row>
    <row r="474" ht="28.05" customHeight="1">
      <c r="A474" s="15" t="n">
        <v>473</v>
      </c>
      <c r="B474" s="15" t="inlineStr">
        <is>
          <t>2023-04-12</t>
        </is>
      </c>
      <c r="C474" s="16" t="inlineStr">
        <is>
          <t>gestion.pe</t>
        </is>
      </c>
      <c r="D474" s="16" t="inlineStr">
        <is>
          <t>Alicorp</t>
        </is>
      </c>
      <c r="E474" s="17" t="inlineStr">
        <is>
          <t>BVL cierra con ganancias ante expectativas por el dato de inflación de Estados Unidos</t>
        </is>
      </c>
      <c r="F474" s="19" t="inlineStr">
        <is>
          <t>Z_indice_bursatil</t>
        </is>
      </c>
      <c r="G474" s="19" t="n"/>
      <c r="H474" s="20" t="n"/>
      <c r="I474" s="19" t="n"/>
      <c r="J474" s="18" t="inlineStr">
        <is>
          <t>https://gestion.pe/economia/mercados/bvl-cierra-con-ganancias-ante-expectativas-por-el-dato-de-inflacion-de-estados-unidos-noticia/</t>
        </is>
      </c>
    </row>
    <row r="475" ht="28.05" customHeight="1">
      <c r="A475" s="15" t="n">
        <v>474</v>
      </c>
      <c r="B475" s="15" t="inlineStr">
        <is>
          <t>2022-07-19</t>
        </is>
      </c>
      <c r="C475" s="16" t="inlineStr">
        <is>
          <t>gestion.pe</t>
        </is>
      </c>
      <c r="D475" s="16" t="inlineStr">
        <is>
          <t>Minsur</t>
        </is>
      </c>
      <c r="E475" s="17" t="inlineStr">
        <is>
          <t>Bolsa de Valores de Lima cierra con todos sus indicadores en verde</t>
        </is>
      </c>
      <c r="F475" s="19" t="inlineStr">
        <is>
          <t>Z_indice_bursatil</t>
        </is>
      </c>
      <c r="G475" s="19" t="n"/>
      <c r="H475" s="20" t="n"/>
      <c r="I475" s="19" t="n"/>
      <c r="J475" s="18" t="inlineStr">
        <is>
          <t>https://gestion.pe/economia/mercados/bolsa-de-valores-de-lima-cierra-con-todos-sus-indicadores-en-verde-rmmn-noticia-2/</t>
        </is>
      </c>
    </row>
    <row r="476" ht="28.05" customHeight="1">
      <c r="A476" s="15" t="n">
        <v>475</v>
      </c>
      <c r="B476" s="15" t="inlineStr">
        <is>
          <t>2021-03-08</t>
        </is>
      </c>
      <c r="C476" s="16" t="inlineStr">
        <is>
          <t>gestion.pe</t>
        </is>
      </c>
      <c r="D476" s="16" t="inlineStr">
        <is>
          <t>Ferreycorp</t>
        </is>
      </c>
      <c r="E476" s="17" t="inlineStr">
        <is>
          <t>Bolsa de Valores de Lima abre con índices mixtos en línea con Wall Street</t>
        </is>
      </c>
      <c r="F476" s="19" t="inlineStr">
        <is>
          <t>Z_indice_bursatil</t>
        </is>
      </c>
      <c r="G476" s="19" t="n"/>
      <c r="H476" s="20" t="n"/>
      <c r="I476" s="19" t="n"/>
      <c r="J476" s="18" t="inlineStr">
        <is>
          <t>https://gestion.pe/economia/mercados/bvl-bolsa-de-valores-de-lima-abre-con-indices-mixtos-en-linea-con-wall-street-nndc-noticia/</t>
        </is>
      </c>
    </row>
    <row r="477" ht="28.05" customHeight="1">
      <c r="A477" s="15" t="n">
        <v>476</v>
      </c>
      <c r="B477" s="15" t="inlineStr">
        <is>
          <t>2023-12-16</t>
        </is>
      </c>
      <c r="C477" s="16" t="inlineStr">
        <is>
          <t>gestion.pe</t>
        </is>
      </c>
      <c r="D477" s="16" t="inlineStr">
        <is>
          <t>Luz del Sur</t>
        </is>
      </c>
      <c r="E477" s="17" t="inlineStr">
        <is>
          <t>Luz del Sur aprueba la compra de dos paques eólicos de Sigma FI | Luz del sur | energías renovables | China | empresas chinas en Perú</t>
        </is>
      </c>
      <c r="F477" s="19" t="inlineStr">
        <is>
          <t>B_estrategia_inversion</t>
        </is>
      </c>
      <c r="G477" s="19" t="inlineStr">
        <is>
          <t>positivo</t>
        </is>
      </c>
      <c r="H477" s="20" t="n"/>
      <c r="I477" s="19" t="inlineStr">
        <is>
          <t>Compra de parques eolicos = entrada a generacion renovable, suma capacidad al propio negocio. Reclasificada desde A_ma_reestructuracion a pedido del usuario. Regla: capacidad propia = B, cambio de perimetro del grupo = A.</t>
        </is>
      </c>
      <c r="J477" s="18" t="inlineStr">
        <is>
          <t>https://gestion.pe/economia/empresas/luz-del-sur-aprueba-la-compra-de-dos-paques-eolicos-de-sigma-fi-luz-del-sur-energias-renovables-china-empresas-chinas-en-peru-noticia/</t>
        </is>
      </c>
    </row>
    <row r="478" ht="28.05" customHeight="1">
      <c r="A478" s="15" t="n">
        <v>477</v>
      </c>
      <c r="B478" s="15" t="inlineStr">
        <is>
          <t>2024-05-17</t>
        </is>
      </c>
      <c r="C478" s="16" t="inlineStr">
        <is>
          <t>gestion.pe</t>
        </is>
      </c>
      <c r="D478" s="16" t="inlineStr">
        <is>
          <t>Alicorp</t>
        </is>
      </c>
      <c r="E478" s="17" t="inlineStr">
        <is>
          <t>BVL cerró al alza en medio de mejores perspectivas para la economía china</t>
        </is>
      </c>
      <c r="F478" s="19" t="inlineStr">
        <is>
          <t>Z_indice_bursatil</t>
        </is>
      </c>
      <c r="G478" s="19" t="n"/>
      <c r="H478" s="20" t="n"/>
      <c r="I478" s="19" t="n"/>
      <c r="J478" s="18" t="inlineStr">
        <is>
          <t>https://gestion.pe/economia/mercados/bvl-cerro-al-alza-en-medio-de-mejores-perspectivas-para-la-economia-china-noticia/</t>
        </is>
      </c>
    </row>
    <row r="479" ht="28.05" customHeight="1">
      <c r="A479" s="15" t="n">
        <v>478</v>
      </c>
      <c r="B479" s="15" t="inlineStr">
        <is>
          <t>2016-08-31</t>
        </is>
      </c>
      <c r="C479" s="16" t="inlineStr">
        <is>
          <t>elcomercio.pe</t>
        </is>
      </c>
      <c r="D479" s="16" t="inlineStr">
        <is>
          <t>InRetail Peru Corp</t>
        </is>
      </c>
      <c r="E479" s="17" t="inlineStr">
        <is>
          <t>Callao: roban equipos electrónicos en Plaza Vea de Bellavista</t>
        </is>
      </c>
      <c r="F479" s="19" t="inlineStr">
        <is>
          <t>A_crisis_evento_adverso</t>
        </is>
      </c>
      <c r="G479" s="19" t="inlineStr">
        <is>
          <t>negativo</t>
        </is>
      </c>
      <c r="H479" s="20" t="inlineStr">
        <is>
          <t>x</t>
        </is>
      </c>
      <c r="I479" s="19" t="inlineStr">
        <is>
          <t>Robo en una tienda Plaza Vea: hecho concreto pero inmaterial; la taxonomia no gradua magnitud dentro de A.</t>
        </is>
      </c>
      <c r="J479" s="18" t="inlineStr">
        <is>
          <t>http://elcomercio.pe/sociedad/lima/callao-roban-equipos-electronicos-plaza-vea-bellavista-noticia-1928349</t>
        </is>
      </c>
    </row>
    <row r="480" ht="28.05" customHeight="1">
      <c r="A480" s="15" t="n">
        <v>479</v>
      </c>
      <c r="B480" s="15" t="inlineStr">
        <is>
          <t>2022-06-25</t>
        </is>
      </c>
      <c r="C480" s="16" t="inlineStr">
        <is>
          <t>larepublica.pe</t>
        </is>
      </c>
      <c r="D480" s="16" t="inlineStr">
        <is>
          <t>Ferreycorp</t>
        </is>
      </c>
      <c r="E480" s="17" t="inlineStr">
        <is>
          <t>“Al fondo hay sitio” y otros programas que lograron los ratings más altos de la televisión peruana</t>
        </is>
      </c>
      <c r="F480" s="19" t="inlineStr">
        <is>
          <t>Z_no_relevante</t>
        </is>
      </c>
      <c r="G480" s="19" t="n"/>
      <c r="H480" s="20" t="n"/>
      <c r="I480" s="19" t="n"/>
      <c r="J480" s="18" t="inlineStr">
        <is>
          <t>https://larepublica.pe/espectaculos/tvshow/2022/06/25/al-fondo-hay-sitio-cuales-son-los-programas-que-alcanzaron-los-ratings-mas-altos-de-la-television-peruana-videos-evat/</t>
        </is>
      </c>
    </row>
    <row r="481" ht="28.05" customHeight="1">
      <c r="A481" s="15" t="n">
        <v>480</v>
      </c>
      <c r="B481" s="15" t="inlineStr">
        <is>
          <t>2019-08-01</t>
        </is>
      </c>
      <c r="C481" s="16" t="inlineStr">
        <is>
          <t>elcomercio.pe</t>
        </is>
      </c>
      <c r="D481" s="16" t="inlineStr">
        <is>
          <t>Alicorp</t>
        </is>
      </c>
      <c r="E481" s="17" t="inlineStr">
        <is>
          <t>Alicorp: Ventas crecieron 16% y alcanzaron S/2,4 mlls en el segundo trimestre</t>
        </is>
      </c>
      <c r="F481" s="19" t="inlineStr">
        <is>
          <t>A_resultados</t>
        </is>
      </c>
      <c r="G481" s="19" t="inlineStr">
        <is>
          <t>positivo</t>
        </is>
      </c>
      <c r="H481" s="20" t="n"/>
      <c r="I481" s="19" t="inlineStr">
        <is>
          <t>Ventas del segundo trimestre crecen 16%.</t>
        </is>
      </c>
      <c r="J481" s="18" t="inlineStr">
        <is>
          <t>http://elcomercio.pe/economia/negocios/alicorp-ventas-consolidadas-crecieron-16-alcanzaron-s-2-4-mlls-2019-noticia-661181</t>
        </is>
      </c>
    </row>
    <row r="482" ht="28.05" customHeight="1">
      <c r="A482" s="15" t="n">
        <v>481</v>
      </c>
      <c r="B482" s="15" t="inlineStr">
        <is>
          <t>2023-11-06</t>
        </is>
      </c>
      <c r="C482" s="16" t="inlineStr">
        <is>
          <t>larepublica.pe</t>
        </is>
      </c>
      <c r="D482" s="16" t="inlineStr">
        <is>
          <t>Banco de Credito del Peru (BCP)</t>
        </is>
      </c>
      <c r="E482" s="17" t="inlineStr">
        <is>
          <t>Dólar cierra al alza el inicio de semana: ¿en cuánto cotizó este lunes 6 de noviembre?</t>
        </is>
      </c>
      <c r="F482" s="19" t="inlineStr">
        <is>
          <t>Z_mencion_incidental</t>
        </is>
      </c>
      <c r="G482" s="19" t="n"/>
      <c r="H482" s="20" t="n"/>
      <c r="I482" s="19" t="inlineStr">
        <is>
          <t>Tipo de cambio.</t>
        </is>
      </c>
      <c r="J482" s="18" t="inlineStr">
        <is>
          <t>https://larepublica.pe/economia/2023/11/06/dolar-cierra-al-alza-el-inicio-de-semana-en-cuanto-cotizo-este-lunes-6-de-noviembre-95130</t>
        </is>
      </c>
    </row>
    <row r="483" ht="28.05" customHeight="1">
      <c r="A483" s="15" t="n">
        <v>482</v>
      </c>
      <c r="B483" s="15" t="inlineStr">
        <is>
          <t>2018-08-09</t>
        </is>
      </c>
      <c r="C483" s="16" t="inlineStr">
        <is>
          <t>elcomercio.pe</t>
        </is>
      </c>
      <c r="D483" s="16" t="inlineStr">
        <is>
          <t>InRetail Peru Corp</t>
        </is>
      </c>
      <c r="E483" s="17" t="inlineStr">
        <is>
          <t>Villa El Salvador: ingresaron a comprar una pastilla y se llevaron 1,400 soles</t>
        </is>
      </c>
      <c r="F483" s="19" t="inlineStr">
        <is>
          <t>A_crisis_evento_adverso</t>
        </is>
      </c>
      <c r="G483" s="19" t="inlineStr">
        <is>
          <t>negativo</t>
        </is>
      </c>
      <c r="H483" s="20" t="inlineStr">
        <is>
          <t>x</t>
        </is>
      </c>
      <c r="I483" s="19" t="inlineStr">
        <is>
          <t>Robo en una botica del grupo; mismo caso que la fila 478.</t>
        </is>
      </c>
      <c r="J483" s="18" t="inlineStr">
        <is>
          <t>http://elcomercio.pe/lima/policiales/villa-salvador-ingresaron-comprar-pastilla-llevaron-1-400-soles-noticia-nndc-545101</t>
        </is>
      </c>
    </row>
    <row r="484" ht="28.05" customHeight="1">
      <c r="A484" s="15" t="n">
        <v>483</v>
      </c>
      <c r="B484" s="15" t="inlineStr">
        <is>
          <t>2021-10-11</t>
        </is>
      </c>
      <c r="C484" s="16" t="inlineStr">
        <is>
          <t>elcomercio.pe</t>
        </is>
      </c>
      <c r="D484" s="16" t="inlineStr">
        <is>
          <t>Cementos Pacasmayo</t>
        </is>
      </c>
      <c r="E484" s="17" t="inlineStr">
        <is>
          <t>Bolsa de Valores de Lima sube en la apertura impulsada por sector minero nndc</t>
        </is>
      </c>
      <c r="F484" s="19" t="inlineStr">
        <is>
          <t>Z_indice_bursatil</t>
        </is>
      </c>
      <c r="G484" s="19" t="n"/>
      <c r="H484" s="20" t="n"/>
      <c r="I484" s="19" t="n"/>
      <c r="J484" s="18" t="inlineStr">
        <is>
          <t>https://elcomercio.pe/economia/mercados/bolsa-de-valores-de-lima-sube-en-la-apertura-impulsada-por-sector-minero-nndc-noticia/</t>
        </is>
      </c>
    </row>
    <row r="485" ht="28.05" customHeight="1">
      <c r="A485" s="15" t="n">
        <v>484</v>
      </c>
      <c r="B485" s="15" t="inlineStr">
        <is>
          <t>2018-05-03</t>
        </is>
      </c>
      <c r="C485" s="16" t="inlineStr">
        <is>
          <t>elcomercio.pe</t>
        </is>
      </c>
      <c r="D485" s="16" t="inlineStr">
        <is>
          <t>Alicorp</t>
        </is>
      </c>
      <c r="E485" s="17" t="inlineStr">
        <is>
          <t>"El valor del buen gobierno", por José Larrabure</t>
        </is>
      </c>
      <c r="F485" s="19" t="inlineStr">
        <is>
          <t>Z_no_relevante</t>
        </is>
      </c>
      <c r="G485" s="19" t="n"/>
      <c r="H485" s="20" t="n"/>
      <c r="I485" s="19" t="n"/>
      <c r="J485" s="18" t="inlineStr">
        <is>
          <t>http://elcomercio.pe/economia/buen-gobierno-jose-larrabure-noticia-517265</t>
        </is>
      </c>
    </row>
    <row r="486" ht="28.05" customHeight="1">
      <c r="A486" s="15" t="n">
        <v>485</v>
      </c>
      <c r="B486" s="15" t="inlineStr">
        <is>
          <t>2019-09-22</t>
        </is>
      </c>
      <c r="C486" s="16" t="inlineStr">
        <is>
          <t>elcomercio.pe</t>
        </is>
      </c>
      <c r="D486" s="16" t="inlineStr">
        <is>
          <t>InRetail Peru Corp</t>
        </is>
      </c>
      <c r="E486" s="17" t="inlineStr">
        <is>
          <t>Desde el 2016 han reportado más de 2 mil agresiones a policías en el país</t>
        </is>
      </c>
      <c r="F486" s="19" t="inlineStr">
        <is>
          <t>Z_no_relevante</t>
        </is>
      </c>
      <c r="G486" s="19" t="n"/>
      <c r="H486" s="20" t="n"/>
      <c r="I486" s="19" t="n"/>
      <c r="J486" s="18" t="inlineStr">
        <is>
          <t>http://elcomercio.pe/peru/2-mil-casos-agresion-policias-nivel-nacional-registraron-2016-noticia-nndc-678766</t>
        </is>
      </c>
    </row>
    <row r="487" ht="28.05" customHeight="1">
      <c r="A487" s="15" t="n">
        <v>486</v>
      </c>
      <c r="B487" s="15" t="inlineStr">
        <is>
          <t>2020-05-10</t>
        </is>
      </c>
      <c r="C487" s="16" t="inlineStr">
        <is>
          <t>elcomercio.pe</t>
        </is>
      </c>
      <c r="D487" s="16" t="inlineStr">
        <is>
          <t>InRetail Peru Corp</t>
        </is>
      </c>
      <c r="E487" s="17" t="inlineStr">
        <is>
          <t>Cuarentena: ¿Qué compran las mujeres y qué los hombres en los supermercados?</t>
        </is>
      </c>
      <c r="F487" s="19" t="inlineStr">
        <is>
          <t>Z_sector_macro</t>
        </is>
      </c>
      <c r="G487" s="19" t="n"/>
      <c r="H487" s="20" t="inlineStr">
        <is>
          <t>x</t>
        </is>
      </c>
      <c r="I487" s="19" t="inlineStr">
        <is>
          <t>Habitos de compra en supermercados.</t>
        </is>
      </c>
      <c r="J487" s="18" t="inlineStr">
        <is>
          <t>https://elcomercio.pe/economia/dia-1/cuarentena-que-compran-las-mujeres-y-que-los-hombres-en-los-supermercados-plaza-vea-wong-metro-tottus-noticia/</t>
        </is>
      </c>
    </row>
    <row r="488" ht="28.05" customHeight="1">
      <c r="A488" s="15" t="n">
        <v>487</v>
      </c>
      <c r="B488" s="15" t="inlineStr">
        <is>
          <t>2016-08-13</t>
        </is>
      </c>
      <c r="C488" s="16" t="inlineStr">
        <is>
          <t>elcomercio.pe</t>
        </is>
      </c>
      <c r="D488" s="16" t="inlineStr">
        <is>
          <t>Ferreycorp</t>
        </is>
      </c>
      <c r="E488" s="17" t="inlineStr">
        <is>
          <t>Ejecutivo declara tres días no laborables en noviembre por APEC</t>
        </is>
      </c>
      <c r="F488" s="19" t="inlineStr">
        <is>
          <t>Z_sector_macro</t>
        </is>
      </c>
      <c r="G488" s="19" t="n"/>
      <c r="H488" s="20" t="n"/>
      <c r="I488" s="19" t="inlineStr">
        <is>
          <t>Dias no laborables por APEC.</t>
        </is>
      </c>
      <c r="J488" s="18" t="inlineStr">
        <is>
          <t>http://elcomercio.pe/politica/gobierno/ejecutivo-declara-tres-dias-no-laborables-noviembre-apec-noticia-1923987</t>
        </is>
      </c>
    </row>
    <row r="489" ht="28.05" customHeight="1">
      <c r="A489" s="15" t="n">
        <v>488</v>
      </c>
      <c r="B489" s="15" t="inlineStr">
        <is>
          <t>2023-02-10</t>
        </is>
      </c>
      <c r="C489" s="16" t="inlineStr">
        <is>
          <t>larepublica.pe</t>
        </is>
      </c>
      <c r="D489" s="16" t="inlineStr">
        <is>
          <t>InRetail Peru Corp</t>
        </is>
      </c>
      <c r="E489" s="17" t="inlineStr">
        <is>
          <t>Centro Urbano Comercial Rex: ¿cómo avanza la megaobra con departamentos y con qué tiendas ya cuenta?</t>
        </is>
      </c>
      <c r="F489" s="19" t="inlineStr">
        <is>
          <t>Z_sector_macro</t>
        </is>
      </c>
      <c r="G489" s="19" t="n"/>
      <c r="H489" s="20" t="inlineStr">
        <is>
          <t>x</t>
        </is>
      </c>
      <c r="I489" s="19" t="inlineStr">
        <is>
          <t>Megaobra comercial de un tercero.</t>
        </is>
      </c>
      <c r="J489" s="18" t="inlineStr">
        <is>
          <t>https://larepublica.pe/sociedad/2023/02/10/centro-urbano-comercial-rex-como-avanza-la-megaobra-departamentos-que-tiendas-cuenta-ultimas-noticias-del-proyecto-antigua-ladrillera-rex-212440</t>
        </is>
      </c>
    </row>
    <row r="490" ht="28.05" customHeight="1">
      <c r="A490" s="15" t="n">
        <v>489</v>
      </c>
      <c r="B490" s="15" t="inlineStr">
        <is>
          <t>2025-06-11</t>
        </is>
      </c>
      <c r="C490" s="16" t="inlineStr">
        <is>
          <t>gestion.pe</t>
        </is>
      </c>
      <c r="D490" s="16" t="inlineStr">
        <is>
          <t>Banco de Credito del Peru (BCP)</t>
        </is>
      </c>
      <c r="E490" s="17" t="inlineStr">
        <is>
          <t>Acciones de Bolsa de Lima están hasta 50% más baratas, pero asoma este “cuco”</t>
        </is>
      </c>
      <c r="F490" s="19" t="inlineStr">
        <is>
          <t>Z_indice_bursatil</t>
        </is>
      </c>
      <c r="G490" s="19" t="n"/>
      <c r="H490" s="20" t="n"/>
      <c r="I490" s="19" t="inlineStr">
        <is>
          <t>Valorizaciones de la BVL (ver fila 68).</t>
        </is>
      </c>
      <c r="J490" s="18" t="inlineStr">
        <is>
          <t>https://gestion.pe/tu-dinero/acciones-de-bolsa-de-lima-estan-hasta-50-mas-baratas-pero-asoma-este-cuco-noticia/</t>
        </is>
      </c>
    </row>
    <row r="491" ht="28.05" customHeight="1">
      <c r="A491" s="15" t="n">
        <v>490</v>
      </c>
      <c r="B491" s="15" t="inlineStr">
        <is>
          <t>2019-03-06</t>
        </is>
      </c>
      <c r="C491" s="16" t="inlineStr">
        <is>
          <t>larepublica.pe</t>
        </is>
      </c>
      <c r="D491" s="16" t="inlineStr">
        <is>
          <t>InRetail Peru Corp</t>
        </is>
      </c>
      <c r="E491" s="17" t="inlineStr">
        <is>
          <t>Multimillonarios en Perú: ¿Cuántos y quiénes aparecen en la lista Forbes? [Fotos]</t>
        </is>
      </c>
      <c r="F491" s="19" t="inlineStr">
        <is>
          <t>Z_mencion_incidental</t>
        </is>
      </c>
      <c r="G491" s="19" t="n"/>
      <c r="H491" s="20" t="n"/>
      <c r="I491" s="19" t="inlineStr">
        <is>
          <t>Lista Forbes.</t>
        </is>
      </c>
      <c r="J491" s="18" t="inlineStr">
        <is>
          <t>https://larepublica.pe/economia/1425418-multimillonarios-peru-aparecen-lista-forbes</t>
        </is>
      </c>
    </row>
    <row r="492" ht="28.05" customHeight="1">
      <c r="A492" s="15" t="n">
        <v>491</v>
      </c>
      <c r="B492" s="15" t="inlineStr">
        <is>
          <t>2024-09-02</t>
        </is>
      </c>
      <c r="C492" s="16" t="inlineStr">
        <is>
          <t>larepublica.pe</t>
        </is>
      </c>
      <c r="D492" s="16" t="inlineStr">
        <is>
          <t>InRetail Peru Corp</t>
        </is>
      </c>
      <c r="E492" s="17" t="inlineStr">
        <is>
          <t>San Juan de Lurigancho: anuncian la ampliación de centro comercial Mall Aventura Plaza</t>
        </is>
      </c>
      <c r="F492" s="19" t="inlineStr">
        <is>
          <t>Z_sector_macro</t>
        </is>
      </c>
      <c r="G492" s="19" t="n"/>
      <c r="H492" s="20" t="inlineStr">
        <is>
          <t>x</t>
        </is>
      </c>
      <c r="I492" s="19" t="inlineStr">
        <is>
          <t>Mall Aventura no es de InRetail; es ampliacion de un competidor.</t>
        </is>
      </c>
      <c r="J492" s="18" t="inlineStr">
        <is>
          <t>https://larepublica.pe/economia/2024/09/02/mall-aventura-san-juan-de-lurigancho-anuncian-ampliacion-del-centro-comercial-en-sjl-con-nuevas-tiendas-y-restaurantes-para-entretenimiento-atmp-148156</t>
        </is>
      </c>
    </row>
    <row r="493" ht="28.05" customHeight="1">
      <c r="A493" s="15" t="n">
        <v>492</v>
      </c>
      <c r="B493" s="15" t="inlineStr">
        <is>
          <t>2020-12-10</t>
        </is>
      </c>
      <c r="C493" s="16" t="inlineStr">
        <is>
          <t>larepublica.pe</t>
        </is>
      </c>
      <c r="D493" s="16" t="inlineStr">
        <is>
          <t>Banco de Credito del Peru (BCP)</t>
        </is>
      </c>
      <c r="E493" s="17" t="inlineStr">
        <is>
          <t>Reniec: renovación de DNI por internet, cómo renovar por celular www.reniec.gob.pe ATMP</t>
        </is>
      </c>
      <c r="F493" s="19" t="inlineStr">
        <is>
          <t>Z_no_relevante</t>
        </is>
      </c>
      <c r="G493" s="19" t="n"/>
      <c r="H493" s="20" t="n"/>
      <c r="I493" s="19" t="n"/>
      <c r="J493" s="18" t="inlineStr">
        <is>
          <t>https://larepublica.pe/sociedad/2020/12/10/reniec-renovacion-de-dni-por-internet-como-renovar-por-celular-wwwreniecgobpe-atmp/</t>
        </is>
      </c>
    </row>
    <row r="494" ht="28.05" customHeight="1">
      <c r="A494" s="15" t="n">
        <v>493</v>
      </c>
      <c r="B494" s="15" t="inlineStr">
        <is>
          <t>2022-03-08</t>
        </is>
      </c>
      <c r="C494" s="16" t="inlineStr">
        <is>
          <t>elcomercio.pe</t>
        </is>
      </c>
      <c r="D494" s="16" t="inlineStr">
        <is>
          <t>Banco de Credito del Peru (BCP)</t>
        </is>
      </c>
      <c r="E494" s="17" t="inlineStr">
        <is>
          <t>Eduardo Torres-Llosa asumirá la gerencia general del BCR</t>
        </is>
      </c>
      <c r="F494" s="19" t="inlineStr">
        <is>
          <t>Z_sector_macro</t>
        </is>
      </c>
      <c r="G494" s="19" t="n"/>
      <c r="H494" s="20" t="inlineStr">
        <is>
          <t>x</t>
        </is>
      </c>
      <c r="I494" s="19" t="inlineStr">
        <is>
          <t>Cambio de gerencia en el BCR, no en el BCP.</t>
        </is>
      </c>
      <c r="J494" s="18" t="inlineStr">
        <is>
          <t>https://elcomercio.pe/economia/peru/eduardo-torres-llosa-asumira-la-gerencia-general-del-bcr-noticia/</t>
        </is>
      </c>
    </row>
    <row r="495" ht="28.05" customHeight="1">
      <c r="A495" s="15" t="n">
        <v>494</v>
      </c>
      <c r="B495" s="15" t="inlineStr">
        <is>
          <t>2025-05-27</t>
        </is>
      </c>
      <c r="C495" s="16" t="inlineStr">
        <is>
          <t>larepublica.pe</t>
        </is>
      </c>
      <c r="D495" s="16" t="inlineStr">
        <is>
          <t>Banco de Credito del Peru (BCP)</t>
        </is>
      </c>
      <c r="E495" s="17" t="inlineStr">
        <is>
          <t>¿Fin del caso 'Cócteles'?: TC decidirá si acepta hábeas corpus de Keiko Fujimori para anular acusaciones en su contra</t>
        </is>
      </c>
      <c r="F495" s="19" t="inlineStr">
        <is>
          <t>Z_no_relevante</t>
        </is>
      </c>
      <c r="G495" s="19" t="n"/>
      <c r="H495" s="20" t="n"/>
      <c r="I495" s="19" t="n"/>
      <c r="J495" s="18" t="inlineStr">
        <is>
          <t>https://larepublica.pe/politica/2025/05/27/fin-del-caso-cocteles-tc-decidira-si-acepta-habeas-corpus-de-keiko-fujimori-para-anular-acusaciones-en-su-contra-hnews-1027917</t>
        </is>
      </c>
    </row>
    <row r="496" ht="28.05" customHeight="1">
      <c r="A496" s="15" t="n">
        <v>495</v>
      </c>
      <c r="B496" s="15" t="inlineStr">
        <is>
          <t>2018-01-30</t>
        </is>
      </c>
      <c r="C496" s="16" t="inlineStr">
        <is>
          <t>elcomercio.pe</t>
        </is>
      </c>
      <c r="D496" s="16" t="inlineStr">
        <is>
          <t>InRetail Peru Corp</t>
        </is>
      </c>
      <c r="E496" s="17" t="inlineStr">
        <is>
          <t>Esto opina Farmacia Universal sobre la compra de Quicorp</t>
        </is>
      </c>
      <c r="F496" s="19" t="inlineStr">
        <is>
          <t>A_ma_reestructuracion</t>
        </is>
      </c>
      <c r="G496" s="19" t="inlineStr">
        <is>
          <t>neutral</t>
        </is>
      </c>
      <c r="H496" s="20" t="inlineStr">
        <is>
          <t>x</t>
        </is>
      </c>
      <c r="I496" s="19" t="inlineStr">
        <is>
          <t>La compra de Quicorp es de InRetail; el titular la enmarca en la opinion de un tercero.</t>
        </is>
      </c>
      <c r="J496" s="18" t="inlineStr">
        <is>
          <t>http://elcomercio.pe/economia/negocios/compra-quicorp-opinan-farmacias-independientes-noticia-493337</t>
        </is>
      </c>
    </row>
    <row r="497" ht="28.05" customHeight="1">
      <c r="A497" s="15" t="n">
        <v>496</v>
      </c>
      <c r="B497" s="15" t="inlineStr">
        <is>
          <t>2020-11-26</t>
        </is>
      </c>
      <c r="C497" s="16" t="inlineStr">
        <is>
          <t>gestion.pe</t>
        </is>
      </c>
      <c r="D497" s="16" t="inlineStr">
        <is>
          <t>Cementos Pacasmayo</t>
        </is>
      </c>
      <c r="E497" s="17" t="inlineStr">
        <is>
          <t>Bolsa de Lima opera con la mayoría de sus índices en verde en las primeras operaciones nndc</t>
        </is>
      </c>
      <c r="F497" s="19" t="inlineStr">
        <is>
          <t>Z_indice_bursatil</t>
        </is>
      </c>
      <c r="G497" s="19" t="n"/>
      <c r="H497" s="20" t="n"/>
      <c r="I497" s="19" t="n"/>
      <c r="J497" s="18" t="inlineStr">
        <is>
          <t>https://gestion.pe/economia/mercados/bolsa-de-lima-opera-con-la-mayoria-de-sus-indices-en-verde-en-las-primeras-operaciones-nndc-noticia/</t>
        </is>
      </c>
    </row>
    <row r="498" ht="28.05" customHeight="1">
      <c r="A498" s="15" t="n">
        <v>497</v>
      </c>
      <c r="B498" s="15" t="inlineStr">
        <is>
          <t>2025-02-27</t>
        </is>
      </c>
      <c r="C498" s="16" t="inlineStr">
        <is>
          <t>larepublica.pe</t>
        </is>
      </c>
      <c r="D498" s="16" t="inlineStr">
        <is>
          <t>Banco de Credito del Peru (BCP)</t>
        </is>
      </c>
      <c r="E498" s="17" t="inlineStr">
        <is>
          <t>Así puedes consultar el estado de tu trámite del DNI de forma virtual este 2025, vía Reniec</t>
        </is>
      </c>
      <c r="F498" s="19" t="inlineStr">
        <is>
          <t>Z_no_relevante</t>
        </is>
      </c>
      <c r="G498" s="19" t="n"/>
      <c r="H498" s="20" t="n"/>
      <c r="I498" s="19" t="n"/>
      <c r="J498" s="18" t="inlineStr">
        <is>
          <t>https://larepublica.pe/sociedad/2025/02/27/asi-puedes-consultar-el-estado-de-tu-tramite-del-dni-de-forma-virtual-este-2025-via-reniec-atmpe-2298159</t>
        </is>
      </c>
    </row>
    <row r="499" ht="28.05" customHeight="1">
      <c r="A499" s="15" t="n">
        <v>498</v>
      </c>
      <c r="B499" s="15" t="inlineStr">
        <is>
          <t>2022-04-28</t>
        </is>
      </c>
      <c r="C499" s="16" t="inlineStr">
        <is>
          <t>larepublica.pe</t>
        </is>
      </c>
      <c r="D499" s="16" t="inlineStr">
        <is>
          <t>Minsur</t>
        </is>
      </c>
      <c r="E499" s="17" t="inlineStr">
        <is>
          <t>Gobierno no pudo evitar la represión y la violencia en Las Bambas</t>
        </is>
      </c>
      <c r="F499" s="19" t="inlineStr">
        <is>
          <t>Z_sector_macro</t>
        </is>
      </c>
      <c r="G499" s="19" t="n"/>
      <c r="H499" s="20" t="n"/>
      <c r="I499" s="19" t="inlineStr">
        <is>
          <t>Conflictividad en Las Bambas, otra minera.</t>
        </is>
      </c>
      <c r="J499" s="18" t="inlineStr">
        <is>
          <t>https://larepublica.pe/politica/2022/04/28/las-bambas-gobierno-de-pedro-castillo-no-pudo-evitar-la-represion-y-violencia-en-campamento-minero-de-mmg-apurimac-mineria/</t>
        </is>
      </c>
    </row>
    <row r="500" ht="28.05" customHeight="1">
      <c r="A500" s="15" t="n">
        <v>499</v>
      </c>
      <c r="B500" s="15" t="inlineStr">
        <is>
          <t>2021-03-02</t>
        </is>
      </c>
      <c r="C500" s="16" t="inlineStr">
        <is>
          <t>elcomercio.pe</t>
        </is>
      </c>
      <c r="D500" s="16" t="inlineStr">
        <is>
          <t>Luz del Sur</t>
        </is>
      </c>
      <c r="E500" s="17" t="inlineStr">
        <is>
          <t>Tarifas de Luz: el conflicto entre Luz del Sur, Osinergmin y el COES que definirá el monto de tu recibo</t>
        </is>
      </c>
      <c r="F500" s="19" t="inlineStr">
        <is>
          <t>A_regulatorio_material</t>
        </is>
      </c>
      <c r="G500" s="19" t="inlineStr">
        <is>
          <t>neutral</t>
        </is>
      </c>
      <c r="H500" s="20" t="inlineStr">
        <is>
          <t>x</t>
        </is>
      </c>
      <c r="I500" s="19" t="inlineStr">
        <is>
          <t>Conflicto tarifario entre Luz del Sur, Osinergmin y el COES; el titular no adelanta el desenlace.</t>
        </is>
      </c>
      <c r="J500" s="18" t="inlineStr">
        <is>
          <t>https://elcomercio.pe/economia/dia-1/luz-del-sur-tarifas-de-luz-el-conflicto-entre-luz-del-sur-osinergmin-y-el-coes-que-definira-el-monto-de-tu-recibo-recibos-de-luz-noticia/</t>
        </is>
      </c>
    </row>
    <row r="501" ht="28.05" customHeight="1">
      <c r="A501" s="15" t="n">
        <v>500</v>
      </c>
      <c r="B501" s="15" t="inlineStr">
        <is>
          <t>2022-06-21</t>
        </is>
      </c>
      <c r="C501" s="16" t="inlineStr">
        <is>
          <t>larepublica.pe</t>
        </is>
      </c>
      <c r="D501" s="16" t="inlineStr">
        <is>
          <t>Minsur</t>
        </is>
      </c>
      <c r="E501" s="17" t="inlineStr">
        <is>
          <t>Gremios mineros denuncian demoras para obtener seguros por trabajos de riesgo a su salud</t>
        </is>
      </c>
      <c r="F501" s="19" t="inlineStr">
        <is>
          <t>Z_sector_macro</t>
        </is>
      </c>
      <c r="G501" s="19" t="n"/>
      <c r="H501" s="20" t="n"/>
      <c r="I501" s="19" t="n"/>
      <c r="J501" s="18" t="inlineStr">
        <is>
          <t>https://larepublica.pe/sociedad/2022/06/21/mineria-en-peru-gremios-denuncian-demoras-para-obtener-seguro-de-vida-por-trabajos-de-riesgo-susalud-ceconar/</t>
        </is>
      </c>
    </row>
    <row r="502" ht="28.05" customHeight="1">
      <c r="A502" s="15" t="n">
        <v>501</v>
      </c>
      <c r="B502" s="15" t="inlineStr">
        <is>
          <t>2024-08-14</t>
        </is>
      </c>
      <c r="C502" s="16" t="inlineStr">
        <is>
          <t>gestion.pe</t>
        </is>
      </c>
      <c r="D502" s="16" t="inlineStr">
        <is>
          <t>InRetail Peru Corp</t>
        </is>
      </c>
      <c r="E502" s="17" t="inlineStr">
        <is>
          <t>Marcas propias de Cencosud en Perú ganan terreno: ¿Cuál es el segmento con mayor demanda?</t>
        </is>
      </c>
      <c r="F502" s="19" t="inlineStr">
        <is>
          <t>Z_sector_macro</t>
        </is>
      </c>
      <c r="G502" s="19" t="n"/>
      <c r="H502" s="20" t="n"/>
      <c r="I502" s="19" t="inlineStr">
        <is>
          <t>Marcas propias de un competidor.</t>
        </is>
      </c>
      <c r="J502" s="18" t="inlineStr">
        <is>
          <t>https://gestion.pe/economia/empresas/marcas-propias-de-cencosud-en-peru-ganan-terreno-cual-es-el-segmento-con-mayor-demanda-noticia/</t>
        </is>
      </c>
    </row>
    <row r="503" ht="28.05" customHeight="1">
      <c r="A503" s="15" t="n">
        <v>502</v>
      </c>
      <c r="B503" s="15" t="inlineStr">
        <is>
          <t>2023-02-15</t>
        </is>
      </c>
      <c r="C503" s="16" t="inlineStr">
        <is>
          <t>gestion.pe</t>
        </is>
      </c>
      <c r="D503" s="16" t="inlineStr">
        <is>
          <t>Aceros Arequipa</t>
        </is>
      </c>
      <c r="E503" s="17" t="inlineStr">
        <is>
          <t>Unacem, Ferreycorp y Minsur serían las más rentables en dividendos en el 2023</t>
        </is>
      </c>
      <c r="F503" s="19" t="inlineStr">
        <is>
          <t>Z_mencion_incidental</t>
        </is>
      </c>
      <c r="G503" s="19" t="n"/>
      <c r="H503" s="20" t="n"/>
      <c r="I503" s="19" t="inlineStr">
        <is>
          <t>Ranking de dividendos.</t>
        </is>
      </c>
      <c r="J503" s="18" t="inlineStr">
        <is>
          <t>https://gestion.pe/economia/empresas/unacem-ferreycorp-y-minsur-serian-las-mas-rentables-en-dividendos-en-el-2023-noticia/</t>
        </is>
      </c>
    </row>
    <row r="504" ht="28.05" customHeight="1">
      <c r="A504" s="15" t="n">
        <v>503</v>
      </c>
      <c r="B504" s="15" t="inlineStr">
        <is>
          <t>2016-08-01</t>
        </is>
      </c>
      <c r="C504" s="16" t="inlineStr">
        <is>
          <t>elcomercio.pe</t>
        </is>
      </c>
      <c r="D504" s="16" t="inlineStr">
        <is>
          <t>Alicorp</t>
        </is>
      </c>
      <c r="E504" s="17" t="inlineStr">
        <is>
          <t>Así les fue a las empresas más grandes en el segundo trimestre</t>
        </is>
      </c>
      <c r="F504" s="19" t="inlineStr">
        <is>
          <t>Z_mencion_incidental</t>
        </is>
      </c>
      <c r="G504" s="19" t="n"/>
      <c r="H504" s="20" t="n"/>
      <c r="I504" s="19" t="inlineStr">
        <is>
          <t>Resultados agregados (ver fila 80).</t>
        </is>
      </c>
      <c r="J504" s="18" t="inlineStr">
        <is>
          <t>http://elcomercio.pe/economia/negocios/asi-les-fue-empresas-mas-grandes-segundo-trimestre-noticia-1920954</t>
        </is>
      </c>
    </row>
    <row r="505" ht="28.05" customHeight="1">
      <c r="A505" s="15" t="n">
        <v>504</v>
      </c>
      <c r="B505" s="15" t="inlineStr">
        <is>
          <t>2021-10-06</t>
        </is>
      </c>
      <c r="C505" s="16" t="inlineStr">
        <is>
          <t>gestion.pe</t>
        </is>
      </c>
      <c r="D505" s="16" t="inlineStr">
        <is>
          <t>Banco de Credito del Peru (BCP)</t>
        </is>
      </c>
      <c r="E505" s="17" t="inlineStr">
        <is>
          <t>Bolsa de Valores de Lima cae en medio de un panorama global negativo</t>
        </is>
      </c>
      <c r="F505" s="19" t="inlineStr">
        <is>
          <t>Z_indice_bursatil</t>
        </is>
      </c>
      <c r="G505" s="19" t="n"/>
      <c r="H505" s="20" t="n"/>
      <c r="I505" s="19" t="n"/>
      <c r="J505" s="18" t="inlineStr">
        <is>
          <t>https://gestion.pe/economia/mercados/bolsa-de-valores-de-lima-cae-en-medio-de-un-panorama-global-negativo-nndc-noticia/</t>
        </is>
      </c>
    </row>
    <row r="506" ht="28.05" customHeight="1">
      <c r="A506" s="15" t="n">
        <v>505</v>
      </c>
      <c r="B506" s="15" t="inlineStr">
        <is>
          <t>2023-05-11</t>
        </is>
      </c>
      <c r="C506" s="16" t="inlineStr">
        <is>
          <t>larepublica.pe</t>
        </is>
      </c>
      <c r="D506" s="16" t="inlineStr">
        <is>
          <t>Luz del Sur</t>
        </is>
      </c>
      <c r="E506" s="17" t="inlineStr">
        <is>
          <t>¿A partir de cuántos meses te pueden cortar la luz si dejas de pagar el recibo?</t>
        </is>
      </c>
      <c r="F506" s="19" t="inlineStr">
        <is>
          <t>Z_mencion_incidental</t>
        </is>
      </c>
      <c r="G506" s="19" t="n"/>
      <c r="H506" s="20" t="n"/>
      <c r="I506" s="19" t="inlineStr">
        <is>
          <t>Nota de servicio sobre el recibo de luz.</t>
        </is>
      </c>
      <c r="J506" s="18" t="inlineStr">
        <is>
          <t>https://larepublica.pe/datos-lr/respuestas/2023/05/11/cuantos-meses-te-pueden-cortar-la-luz-si-dejas-de-pagar-el-recibo-pago-de-luz-luz-del-sur-enel-atmp-124553</t>
        </is>
      </c>
    </row>
    <row r="507" ht="28.05" customHeight="1">
      <c r="A507" s="15" t="n">
        <v>506</v>
      </c>
      <c r="B507" s="15" t="inlineStr">
        <is>
          <t>2020-07-03</t>
        </is>
      </c>
      <c r="C507" s="16" t="inlineStr">
        <is>
          <t>elcomercio.pe</t>
        </is>
      </c>
      <c r="D507" s="16" t="inlineStr">
        <is>
          <t>Ferreycorp</t>
        </is>
      </c>
      <c r="E507" s="17" t="inlineStr">
        <is>
          <t>Farándula: Coronavirus en Perú</t>
        </is>
      </c>
      <c r="F507" s="19" t="inlineStr">
        <is>
          <t>Z_no_relevante</t>
        </is>
      </c>
      <c r="G507" s="19" t="n"/>
      <c r="H507" s="20" t="n"/>
      <c r="I507" s="19" t="n"/>
      <c r="J507" s="18" t="inlineStr">
        <is>
          <t>https://elcomercio.pe/tvmas/farandula/coronavirus-en-peru-george-forsyth-llevo-ayuda-a-cachuca-lider-de-los-mojarras-covid-19-nndc-noticia/</t>
        </is>
      </c>
    </row>
    <row r="508" ht="28.05" customHeight="1">
      <c r="A508" s="15" t="n">
        <v>507</v>
      </c>
      <c r="B508" s="15" t="inlineStr">
        <is>
          <t>2023-09-25</t>
        </is>
      </c>
      <c r="C508" s="16" t="inlineStr">
        <is>
          <t>gestion.pe</t>
        </is>
      </c>
      <c r="D508" s="16" t="inlineStr">
        <is>
          <t>Ferreycorp</t>
        </is>
      </c>
      <c r="E508" s="17" t="inlineStr">
        <is>
          <t>BVL cierra al alza por aversión al riesgo ante perspectivas sobre tasas de interés altas</t>
        </is>
      </c>
      <c r="F508" s="19" t="inlineStr">
        <is>
          <t>Z_indice_bursatil</t>
        </is>
      </c>
      <c r="G508" s="19" t="n"/>
      <c r="H508" s="20" t="n"/>
      <c r="I508" s="19" t="n"/>
      <c r="J508" s="18" t="inlineStr">
        <is>
          <t>https://gestion.pe/economia/mercados/bvl-cierra-al-alza-por-aversion-al-riesgo-ante-perspectivas-sobre-tasas-de-interes-altas-noticia/</t>
        </is>
      </c>
    </row>
    <row r="509" ht="28.05" customHeight="1">
      <c r="A509" s="15" t="n">
        <v>508</v>
      </c>
      <c r="B509" s="15" t="inlineStr">
        <is>
          <t>2022-10-17</t>
        </is>
      </c>
      <c r="C509" s="16" t="inlineStr">
        <is>
          <t>gestion.pe</t>
        </is>
      </c>
      <c r="D509" s="16" t="inlineStr">
        <is>
          <t>Luz del Sur</t>
        </is>
      </c>
      <c r="E509" s="17" t="inlineStr">
        <is>
          <t>Bolsa de Valores de Lima cierra al alza impulsada por avance de todos los sectores</t>
        </is>
      </c>
      <c r="F509" s="19" t="inlineStr">
        <is>
          <t>Z_indice_bursatil</t>
        </is>
      </c>
      <c r="G509" s="19" t="n"/>
      <c r="H509" s="20" t="n"/>
      <c r="I509" s="19" t="n"/>
      <c r="J509" s="18" t="inlineStr">
        <is>
          <t>https://gestion.pe/economia/mercados/bolsa-de-valores-de-lima-cierra-al-alza-impulsada-por-avance-de-todos-los-sectores-rmmn-noticia/</t>
        </is>
      </c>
    </row>
    <row r="510" ht="28.05" customHeight="1">
      <c r="A510" s="15" t="n">
        <v>509</v>
      </c>
      <c r="B510" s="15" t="inlineStr">
        <is>
          <t>2022-06-08</t>
        </is>
      </c>
      <c r="C510" s="16" t="inlineStr">
        <is>
          <t>gestion.pe</t>
        </is>
      </c>
      <c r="D510" s="16" t="inlineStr">
        <is>
          <t>Banco de Credito del Peru (BCP)</t>
        </is>
      </c>
      <c r="E510" s="17" t="inlineStr">
        <is>
          <t>Credicorp Capital estima que bolsa limeña subiría 32% hasta fin del 2022</t>
        </is>
      </c>
      <c r="F510" s="19" t="inlineStr">
        <is>
          <t>Z_mencion_incidental</t>
        </is>
      </c>
      <c r="G510" s="19" t="n"/>
      <c r="H510" s="20" t="n"/>
      <c r="I510" s="19" t="inlineStr">
        <is>
          <t>Proyeccion de Credicorp Capital sobre la bolsa (ver fila 103).</t>
        </is>
      </c>
      <c r="J510" s="18" t="inlineStr">
        <is>
          <t>https://gestion.pe/economia/credicorp-capital-estima-que-bolsa-limena-subiria-32-hasta-fin-del-2022-economia-noticia/</t>
        </is>
      </c>
    </row>
    <row r="511" ht="28.05" customHeight="1">
      <c r="A511" s="15" t="n">
        <v>510</v>
      </c>
      <c r="B511" s="15" t="inlineStr">
        <is>
          <t>2023-09-13</t>
        </is>
      </c>
      <c r="C511" s="16" t="inlineStr">
        <is>
          <t>gestion.pe</t>
        </is>
      </c>
      <c r="D511" s="16" t="inlineStr">
        <is>
          <t>Banco de Credito del Peru (BCP)</t>
        </is>
      </c>
      <c r="E511" s="17" t="inlineStr">
        <is>
          <t>BCP: Empleo formal aún crece pero salarios reales siguen sin remontar</t>
        </is>
      </c>
      <c r="F511" s="19" t="inlineStr">
        <is>
          <t>Z_mencion_incidental</t>
        </is>
      </c>
      <c r="G511" s="19" t="n"/>
      <c r="H511" s="20" t="n"/>
      <c r="I511" s="19" t="inlineStr">
        <is>
          <t>Estudio del BCP sobre empleo formal.</t>
        </is>
      </c>
      <c r="J511" s="18" t="inlineStr">
        <is>
          <t>https://gestion.pe/economia/management-empleo/bcp-empleo-formal-aun-crece-pero-salarios-reales-siguen-sin-remontar-salarios-poder-adquisitivo-bcp-noticia/</t>
        </is>
      </c>
    </row>
    <row r="512" ht="28.05" customHeight="1">
      <c r="A512" s="15" t="n">
        <v>511</v>
      </c>
      <c r="B512" s="15" t="inlineStr">
        <is>
          <t>2023-03-08</t>
        </is>
      </c>
      <c r="C512" s="16" t="inlineStr">
        <is>
          <t>elcomercio.pe</t>
        </is>
      </c>
      <c r="D512" s="16" t="inlineStr">
        <is>
          <t>Luz del Sur</t>
        </is>
      </c>
      <c r="E512" s="17" t="inlineStr">
        <is>
          <t>Bolsa de Valores de Lima abre al alza este 8 de marzo</t>
        </is>
      </c>
      <c r="F512" s="19" t="inlineStr">
        <is>
          <t>Z_indice_bursatil</t>
        </is>
      </c>
      <c r="G512" s="19" t="n"/>
      <c r="H512" s="20" t="n"/>
      <c r="I512" s="19" t="n"/>
      <c r="J512" s="18" t="inlineStr">
        <is>
          <t>https://elcomercio.pe/economia/mercados/bolsa-de-valores-de-lima-abre-al-alza-este-8-de-marzo-noticia/</t>
        </is>
      </c>
    </row>
    <row r="513" ht="28.05" customHeight="1">
      <c r="A513" s="15" t="n">
        <v>512</v>
      </c>
      <c r="B513" s="15" t="inlineStr">
        <is>
          <t>2024-12-16</t>
        </is>
      </c>
      <c r="C513" s="16" t="inlineStr">
        <is>
          <t>gestion.pe</t>
        </is>
      </c>
      <c r="D513" s="16" t="inlineStr">
        <is>
          <t>InRetail Peru Corp</t>
        </is>
      </c>
      <c r="E513" s="17" t="inlineStr">
        <is>
          <t>Nueva ola de inversionistas en BVL, ¿siguen apuntando al Puerto de Chancay?</t>
        </is>
      </c>
      <c r="F513" s="19" t="inlineStr">
        <is>
          <t>Z_indice_bursatil</t>
        </is>
      </c>
      <c r="G513" s="19" t="n"/>
      <c r="H513" s="20" t="n"/>
      <c r="I513" s="19" t="n"/>
      <c r="J513" s="18" t="inlineStr">
        <is>
          <t>https://gestion.pe/tu-dinero/puerto-de-chancay-nueva-ola-de-inversionistas-en-bvl-siguen-invirtiendo-en-la-megaobra-noticia/</t>
        </is>
      </c>
    </row>
    <row r="514" ht="28.05" customHeight="1">
      <c r="A514" s="15" t="n">
        <v>513</v>
      </c>
      <c r="B514" s="15" t="inlineStr">
        <is>
          <t>2023-05-08</t>
        </is>
      </c>
      <c r="C514" s="16" t="inlineStr">
        <is>
          <t>gestion.pe</t>
        </is>
      </c>
      <c r="D514" s="16" t="inlineStr">
        <is>
          <t>Cementos Pacasmayo</t>
        </is>
      </c>
      <c r="E514" s="17" t="inlineStr">
        <is>
          <t>BVL cierra al alza con la atención puesta en el dato de inflación de EE.UU. esta semana</t>
        </is>
      </c>
      <c r="F514" s="19" t="inlineStr">
        <is>
          <t>Z_indice_bursatil</t>
        </is>
      </c>
      <c r="G514" s="19" t="n"/>
      <c r="H514" s="20" t="n"/>
      <c r="I514" s="19" t="n"/>
      <c r="J514" s="18" t="inlineStr">
        <is>
          <t>https://gestion.pe/economia/mercados/bvl-cierra-al-alza-con-la-atencion-puesta-en-el-dato-de-inflacion-de-eeuu-esta-semana-noticia/</t>
        </is>
      </c>
    </row>
    <row r="515" ht="28.05" customHeight="1">
      <c r="A515" s="15" t="n">
        <v>514</v>
      </c>
      <c r="B515" s="15" t="inlineStr">
        <is>
          <t>2023-12-11</t>
        </is>
      </c>
      <c r="C515" s="16" t="inlineStr">
        <is>
          <t>larepublica.pe</t>
        </is>
      </c>
      <c r="D515" s="16" t="inlineStr">
        <is>
          <t>Banco de Credito del Peru (BCP)</t>
        </is>
      </c>
      <c r="E515" s="17" t="inlineStr">
        <is>
          <t>¿Puedo crear una cuenta de Yape para mi hijo menor de edad?</t>
        </is>
      </c>
      <c r="F515" s="19" t="inlineStr">
        <is>
          <t>Z_marketing_promocion</t>
        </is>
      </c>
      <c r="G515" s="19" t="n"/>
      <c r="H515" s="20" t="n"/>
      <c r="I515" s="19" t="inlineStr">
        <is>
          <t>Instructivo de Yape (ver fila 156).</t>
        </is>
      </c>
      <c r="J515" s="18" t="inlineStr">
        <is>
          <t>https://larepublica.pe/economia/2023/12/11/puedo-crear-una-cuenta-de-yape-para-mi-hijo-menor-de-edad-yape-con-17-anos-atmp-1009833</t>
        </is>
      </c>
    </row>
    <row r="516" ht="28.05" customHeight="1">
      <c r="A516" s="15" t="n">
        <v>515</v>
      </c>
      <c r="B516" s="15" t="inlineStr">
        <is>
          <t>2017-12-18</t>
        </is>
      </c>
      <c r="C516" s="16" t="inlineStr">
        <is>
          <t>elcomercio.pe</t>
        </is>
      </c>
      <c r="D516" s="16" t="inlineStr">
        <is>
          <t>Luz del Sur</t>
        </is>
      </c>
      <c r="E516" s="17" t="inlineStr">
        <is>
          <t>Electricidad: Así se resolverían tensiones entre generadoras</t>
        </is>
      </c>
      <c r="F516" s="19" t="inlineStr">
        <is>
          <t>Z_sector_macro</t>
        </is>
      </c>
      <c r="G516" s="19" t="n"/>
      <c r="H516" s="20" t="n"/>
      <c r="I516" s="19" t="inlineStr">
        <is>
          <t>Tensiones entre generadoras electricas.</t>
        </is>
      </c>
      <c r="J516" s="18" t="inlineStr">
        <is>
          <t>http://elcomercio.pe/economia/dia-1/electricidad-resolverian-tensiones-generadoras-noticia-482440</t>
        </is>
      </c>
    </row>
    <row r="517" ht="28.05" customHeight="1">
      <c r="A517" s="15" t="n">
        <v>516</v>
      </c>
      <c r="B517" s="15" t="inlineStr">
        <is>
          <t>2025-09-18</t>
        </is>
      </c>
      <c r="C517" s="16" t="inlineStr">
        <is>
          <t>larepublica.pe</t>
        </is>
      </c>
      <c r="D517" s="16" t="inlineStr">
        <is>
          <t>Luz del Sur</t>
        </is>
      </c>
      <c r="E517" s="17" t="inlineStr">
        <is>
          <t>Cortes programado de luz para hoy: links para revisar si tu zona se quedará sin energía eléctrica</t>
        </is>
      </c>
      <c r="F517" s="19" t="inlineStr">
        <is>
          <t>Z_mencion_incidental</t>
        </is>
      </c>
      <c r="G517" s="19" t="n"/>
      <c r="H517" s="20" t="n"/>
      <c r="I517" s="19" t="inlineStr">
        <is>
          <t>Cortes programados (ver fila 39).</t>
        </is>
      </c>
      <c r="J517" s="18" t="inlineStr">
        <is>
          <t>https://larepublica.pe/sociedad/2025/09/18/cortes-programado-de-luz-para-hoy-links-para-revisar-si-tu-zona-se-quedara-sin-el-servicio-de-energia-electrica-1726560</t>
        </is>
      </c>
    </row>
    <row r="518" ht="28.05" customHeight="1">
      <c r="A518" s="15" t="n">
        <v>517</v>
      </c>
      <c r="B518" s="15" t="inlineStr">
        <is>
          <t>2022-08-02</t>
        </is>
      </c>
      <c r="C518" s="16" t="inlineStr">
        <is>
          <t>elcomercio.pe</t>
        </is>
      </c>
      <c r="D518" s="16" t="inlineStr">
        <is>
          <t>Alicorp</t>
        </is>
      </c>
      <c r="E518" s="17" t="inlineStr">
        <is>
          <t>Bolsa de Valores de Lima cierra con ganancias pese a la volatilidad del mercado extranjero</t>
        </is>
      </c>
      <c r="F518" s="19" t="inlineStr">
        <is>
          <t>Z_indice_bursatil</t>
        </is>
      </c>
      <c r="G518" s="19" t="n"/>
      <c r="H518" s="20" t="n"/>
      <c r="I518" s="19" t="n"/>
      <c r="J518" s="18" t="n"/>
    </row>
    <row r="519" ht="28.05" customHeight="1">
      <c r="A519" s="15" t="n">
        <v>518</v>
      </c>
      <c r="B519" s="15" t="inlineStr">
        <is>
          <t>2018-01-29</t>
        </is>
      </c>
      <c r="C519" s="16" t="inlineStr">
        <is>
          <t>elcomercio.pe</t>
        </is>
      </c>
      <c r="D519" s="16" t="inlineStr">
        <is>
          <t>Banco de Credito del Peru (BCP)</t>
        </is>
      </c>
      <c r="E519" s="17" t="inlineStr">
        <is>
          <t>Entel tendría utilidades por US$17 mlls. gracias a Perú</t>
        </is>
      </c>
      <c r="F519" s="19" t="inlineStr">
        <is>
          <t>Z_no_relevante</t>
        </is>
      </c>
      <c r="G519" s="19" t="n"/>
      <c r="H519" s="20" t="n"/>
      <c r="I519" s="19" t="inlineStr">
        <is>
          <t>Entel: otra empresa, otro sector.</t>
        </is>
      </c>
      <c r="J519" s="18" t="inlineStr">
        <is>
          <t>http://elcomercio.pe/economia/negocios/entel-tendria-utilidades-us-17-mlls-gracias-peru-noticia-492922</t>
        </is>
      </c>
    </row>
    <row r="520" ht="28.05" customHeight="1">
      <c r="A520" s="15" t="n">
        <v>519</v>
      </c>
      <c r="B520" s="15" t="inlineStr">
        <is>
          <t>2022-06-12</t>
        </is>
      </c>
      <c r="C520" s="16" t="inlineStr">
        <is>
          <t>larepublica.pe</t>
        </is>
      </c>
      <c r="D520" s="16" t="inlineStr">
        <is>
          <t>Luz del Sur</t>
        </is>
      </c>
      <c r="E520" s="17" t="inlineStr">
        <is>
          <t>Día no laborable por repechaje: ¿habrá cortes de luz en Lima y Callao este lunes 13 de junio?</t>
        </is>
      </c>
      <c r="F520" s="19" t="inlineStr">
        <is>
          <t>Z_mencion_incidental</t>
        </is>
      </c>
      <c r="G520" s="19" t="n"/>
      <c r="H520" s="20" t="n"/>
      <c r="I520" s="19" t="inlineStr">
        <is>
          <t>Cortes programados (ver fila 39).</t>
        </is>
      </c>
      <c r="J520" s="18" t="inlineStr">
        <is>
          <t>https://larepublica.pe/sociedad/2022/06/12/peru-vs-australia-habra-cortes-de-luz-en-lima-y-callao-este-lunes-13-de-junio-durante-el-repechaje-al-mundial-qatar-2022-enel/</t>
        </is>
      </c>
    </row>
    <row r="521" ht="28.05" customHeight="1">
      <c r="A521" s="15" t="n">
        <v>520</v>
      </c>
      <c r="B521" s="15" t="inlineStr">
        <is>
          <t>2022-11-19</t>
        </is>
      </c>
      <c r="C521" s="16" t="inlineStr">
        <is>
          <t>elcomercio.pe</t>
        </is>
      </c>
      <c r="D521" s="16" t="inlineStr">
        <is>
          <t>Alicorp</t>
        </is>
      </c>
      <c r="E521" s="17" t="inlineStr">
        <is>
          <t>Se espera un incremento en las ventas de panetones para Navidad</t>
        </is>
      </c>
      <c r="F521" s="19" t="inlineStr">
        <is>
          <t>Z_sector_macro</t>
        </is>
      </c>
      <c r="G521" s="19" t="n"/>
      <c r="H521" s="20" t="inlineStr">
        <is>
          <t>x</t>
        </is>
      </c>
      <c r="I521" s="19" t="inlineStr">
        <is>
          <t>Expectativa de ventas de la categoria panetones.</t>
        </is>
      </c>
      <c r="J521" s="18" t="inlineStr">
        <is>
          <t>https://elcomercio.pe/economia/se-espera-un-incremento-en-las-ventas-de-panetones-para-navidad-noticia/</t>
        </is>
      </c>
    </row>
    <row r="522" ht="28.05" customHeight="1">
      <c r="A522" s="15" t="n">
        <v>521</v>
      </c>
      <c r="B522" s="15" t="inlineStr">
        <is>
          <t>2024-02-05</t>
        </is>
      </c>
      <c r="C522" s="16" t="inlineStr">
        <is>
          <t>elcomercio.pe</t>
        </is>
      </c>
      <c r="D522" s="16" t="inlineStr">
        <is>
          <t>Banco de Credito del Peru (BCP)</t>
        </is>
      </c>
      <c r="E522" s="17" t="inlineStr">
        <is>
          <t>Precio del dólar en Perú: a cuánto cerró el tipo de cambio el lunes 5 de febrero</t>
        </is>
      </c>
      <c r="F522" s="19" t="inlineStr">
        <is>
          <t>Z_mencion_incidental</t>
        </is>
      </c>
      <c r="G522" s="19" t="n"/>
      <c r="H522" s="20" t="n"/>
      <c r="I522" s="19" t="inlineStr">
        <is>
          <t>Tipo de cambio.</t>
        </is>
      </c>
      <c r="J522" s="18" t="inlineStr">
        <is>
          <t>https://elcomercio.pe/economia/mercados/precio-del-dolar-hoy-en-peru-2024-cuanto-esta-el-dolar-este-lunes-5-de-febrero-tasa-cotizacion-compra-y-venta-segun-bcr-dolares-a-soles-sbs-ocona-lbposting-noticia/</t>
        </is>
      </c>
    </row>
    <row r="523" ht="28.05" customHeight="1">
      <c r="A523" s="15" t="n">
        <v>522</v>
      </c>
      <c r="B523" s="15" t="inlineStr">
        <is>
          <t>2018-01-11</t>
        </is>
      </c>
      <c r="C523" s="16" t="inlineStr">
        <is>
          <t>elcomercio.pe</t>
        </is>
      </c>
      <c r="D523" s="16" t="inlineStr">
        <is>
          <t>Alicorp</t>
        </is>
      </c>
      <c r="E523" s="17" t="inlineStr">
        <is>
          <t>Bolsa de Valores de Lima concluye sesión con ganancias</t>
        </is>
      </c>
      <c r="F523" s="19" t="inlineStr">
        <is>
          <t>Z_indice_bursatil</t>
        </is>
      </c>
      <c r="G523" s="19" t="n"/>
      <c r="H523" s="20" t="n"/>
      <c r="I523" s="19" t="n"/>
      <c r="J523" s="18" t="inlineStr">
        <is>
          <t>http://elcomercio.pe/economia/mercados/bolsa-valores-lima-cierra-jornada-alza-noticia-488380</t>
        </is>
      </c>
    </row>
    <row r="524" ht="28.05" customHeight="1">
      <c r="A524" s="15" t="n">
        <v>523</v>
      </c>
      <c r="B524" s="15" t="inlineStr">
        <is>
          <t>2024-07-10</t>
        </is>
      </c>
      <c r="C524" s="16" t="inlineStr">
        <is>
          <t>elcomercio.pe</t>
        </is>
      </c>
      <c r="D524" s="16" t="inlineStr">
        <is>
          <t>Banco de Credito del Peru (BCP)</t>
        </is>
      </c>
      <c r="E524" s="17" t="inlineStr">
        <is>
          <t>Precio del dólar hoy en Perú, miércoles 10 de julio: cuál es la cotización en bancos</t>
        </is>
      </c>
      <c r="F524" s="19" t="inlineStr">
        <is>
          <t>Z_mencion_incidental</t>
        </is>
      </c>
      <c r="G524" s="19" t="n"/>
      <c r="H524" s="20" t="n"/>
      <c r="I524" s="19" t="inlineStr">
        <is>
          <t>Tipo de cambio.</t>
        </is>
      </c>
      <c r="J524" s="18" t="inlineStr">
        <is>
          <t>https://elcomercio.pe/economia/mercados/precio-del-dolar-hoy-en-peru-2024-a-cuanto-esta-el-dolar-este-miercoles-10-de-julio-tipo-de-cambio-tasa-cotizacion-compra-y-venta-segun-bcr-dolares-a-soles-sbs-ocona-lbposting-noticia/</t>
        </is>
      </c>
    </row>
    <row r="525" ht="28.05" customHeight="1">
      <c r="A525" s="15" t="n">
        <v>524</v>
      </c>
      <c r="B525" s="15" t="inlineStr">
        <is>
          <t>2022-09-20</t>
        </is>
      </c>
      <c r="C525" s="16" t="inlineStr">
        <is>
          <t>gestion.pe</t>
        </is>
      </c>
      <c r="D525" s="16" t="inlineStr">
        <is>
          <t>InRetail Peru Corp</t>
        </is>
      </c>
      <c r="E525" s="17" t="inlineStr">
        <is>
          <t>Empresas cautas en fusiones y adquisiciones | Compra de empresas peruanas</t>
        </is>
      </c>
      <c r="F525" s="19" t="inlineStr">
        <is>
          <t>Z_sector_macro</t>
        </is>
      </c>
      <c r="G525" s="19" t="n"/>
      <c r="H525" s="20" t="n"/>
      <c r="I525" s="19" t="inlineStr">
        <is>
          <t>Actividad de fusiones y adquisiciones en el mercado.</t>
        </is>
      </c>
      <c r="J525" s="18" t="inlineStr">
        <is>
          <t>https://gestion.pe/economia/empresas/empresas-cautas-en-fusiones-y-adquisiciones-compra-de-empresas-peruanas-noticia/</t>
        </is>
      </c>
    </row>
    <row r="526" ht="28.05" customHeight="1">
      <c r="A526" s="15" t="n">
        <v>525</v>
      </c>
      <c r="B526" s="15" t="inlineStr">
        <is>
          <t>2024-08-24</t>
        </is>
      </c>
      <c r="C526" s="16" t="inlineStr">
        <is>
          <t>gestion.pe</t>
        </is>
      </c>
      <c r="D526" s="16" t="inlineStr">
        <is>
          <t>Ferreycorp</t>
        </is>
      </c>
      <c r="E526" s="17" t="inlineStr">
        <is>
          <t>La tendencia ‘cuchareable’ en TikTok que agotó stock de envases: la demanda de los emprendedores</t>
        </is>
      </c>
      <c r="F526" s="19" t="inlineStr">
        <is>
          <t>Z_no_relevante</t>
        </is>
      </c>
      <c r="G526" s="19" t="n"/>
      <c r="H526" s="20" t="n"/>
      <c r="I526" s="19" t="n"/>
      <c r="J526" s="18" t="inlineStr">
        <is>
          <t>https://gestion.pe/economia/la-tendencia-cuchareable-en-tiktok-que-agoto-stock-de-envases-la-demanda-de-los-emprendedores-noticia/</t>
        </is>
      </c>
    </row>
    <row r="527" ht="28.05" customHeight="1">
      <c r="A527" s="15" t="n">
        <v>526</v>
      </c>
      <c r="B527" s="15" t="inlineStr">
        <is>
          <t>2024-08-07</t>
        </is>
      </c>
      <c r="C527" s="16" t="inlineStr">
        <is>
          <t>elcomercio.pe</t>
        </is>
      </c>
      <c r="D527" s="16" t="inlineStr">
        <is>
          <t>Aceros Arequipa</t>
        </is>
      </c>
      <c r="E527" s="17" t="inlineStr">
        <is>
          <t>Aceros Arequipa anuncia compra de 20 camiones GNV para reducir emisiones de CO2 en un 80%</t>
        </is>
      </c>
      <c r="F527" s="19" t="inlineStr">
        <is>
          <t>B_estrategia_inversion</t>
        </is>
      </c>
      <c r="G527" s="19" t="inlineStr">
        <is>
          <t>neutral</t>
        </is>
      </c>
      <c r="H527" s="20" t="inlineStr">
        <is>
          <t>x</t>
        </is>
      </c>
      <c r="I527" s="19" t="inlineStr">
        <is>
          <t>Compra de 20 camiones a GNV. Alternativa: Z_patrocinio_rse por el angulo ambiental.</t>
        </is>
      </c>
      <c r="J527" s="18" t="n"/>
    </row>
    <row r="528" ht="28.05" customHeight="1">
      <c r="A528" s="15" t="n">
        <v>527</v>
      </c>
      <c r="B528" s="15" t="inlineStr">
        <is>
          <t>2019-03-04</t>
        </is>
      </c>
      <c r="C528" s="16" t="inlineStr">
        <is>
          <t>gestion.pe</t>
        </is>
      </c>
      <c r="D528" s="16" t="inlineStr">
        <is>
          <t>Banco de Credito del Peru (BCP)</t>
        </is>
      </c>
      <c r="E528" s="17" t="inlineStr">
        <is>
          <t>Perú concentrará 35.6% de las propiedades de Fibra The Latam Reit</t>
        </is>
      </c>
      <c r="F528" s="19" t="inlineStr">
        <is>
          <t>Z_sector_macro</t>
        </is>
      </c>
      <c r="G528" s="19" t="n"/>
      <c r="H528" s="20" t="n"/>
      <c r="I528" s="19" t="n"/>
      <c r="J528" s="18" t="inlineStr">
        <is>
          <t>http://gestion.pe/economia/empresas/peru-concentrara-35-6-propiedades-fibra-the-latam-reit-260302</t>
        </is>
      </c>
    </row>
    <row r="529" ht="28.05" customHeight="1">
      <c r="A529" s="15" t="n">
        <v>528</v>
      </c>
      <c r="B529" s="15" t="inlineStr">
        <is>
          <t>2020-10-28</t>
        </is>
      </c>
      <c r="C529" s="16" t="inlineStr">
        <is>
          <t>larepublica.pe</t>
        </is>
      </c>
      <c r="D529" s="16" t="inlineStr">
        <is>
          <t>Banco de Credito del Peru (BCP)</t>
        </is>
      </c>
      <c r="E529" s="17" t="inlineStr">
        <is>
          <t>Fondos mutuos: más del 85% de la masa administrada se encuentra con rentabilidad positiva</t>
        </is>
      </c>
      <c r="F529" s="19" t="inlineStr">
        <is>
          <t>Z_sector_macro</t>
        </is>
      </c>
      <c r="G529" s="19" t="n"/>
      <c r="H529" s="20" t="inlineStr">
        <is>
          <t>x</t>
        </is>
      </c>
      <c r="I529" s="19" t="inlineStr">
        <is>
          <t>Rentabilidad agregada de fondos mutuos, negocio en el que participa.</t>
        </is>
      </c>
      <c r="J529" s="18" t="inlineStr">
        <is>
          <t>https://larepublica.pe/economia/2020/10/28/fondos-mutuos-mas-del-85-de-la-masa-administrada-esta-con-rentabilidad-positiva/</t>
        </is>
      </c>
    </row>
    <row r="530" ht="28.05" customHeight="1">
      <c r="A530" s="15" t="n">
        <v>529</v>
      </c>
      <c r="B530" s="15" t="inlineStr">
        <is>
          <t>2025-10-02</t>
        </is>
      </c>
      <c r="C530" s="16" t="inlineStr">
        <is>
          <t>gestion.pe</t>
        </is>
      </c>
      <c r="D530" s="16" t="inlineStr">
        <is>
          <t>Banco de Credito del Peru (BCP)</t>
        </is>
      </c>
      <c r="E530" s="17" t="inlineStr">
        <is>
          <t>Tipo de cambio hoy en Perú: ¿Cuánto está el dólar este jueves 2 de octubre?</t>
        </is>
      </c>
      <c r="F530" s="19" t="inlineStr">
        <is>
          <t>Z_mencion_incidental</t>
        </is>
      </c>
      <c r="G530" s="19" t="n"/>
      <c r="H530" s="20" t="n"/>
      <c r="I530" s="19" t="inlineStr">
        <is>
          <t>Tipo de cambio.</t>
        </is>
      </c>
      <c r="J530" s="18" t="inlineStr">
        <is>
          <t>https://gestion.pe/peru/tipo-de-cambio-dolar-hoy-en-peru-cuanto-esta-el-precio-del-dolar-este-jueves-2-de-octubre-dolares-a-soles-compra-y-venta-bcrp-noticia/</t>
        </is>
      </c>
    </row>
    <row r="531" ht="28.05" customHeight="1">
      <c r="A531" s="15" t="n">
        <v>530</v>
      </c>
      <c r="B531" s="15" t="inlineStr">
        <is>
          <t>2015-12-24</t>
        </is>
      </c>
      <c r="C531" s="16" t="inlineStr">
        <is>
          <t>larepublica.pe</t>
        </is>
      </c>
      <c r="D531" s="16" t="inlineStr">
        <is>
          <t>InRetail Peru Corp</t>
        </is>
      </c>
      <c r="E531" s="17" t="inlineStr">
        <is>
          <t>Conoce los horarios de atención este 24 y 25 en tiendas comerciales</t>
        </is>
      </c>
      <c r="F531" s="19" t="inlineStr">
        <is>
          <t>Z_mencion_incidental</t>
        </is>
      </c>
      <c r="G531" s="19" t="n"/>
      <c r="H531" s="20" t="n"/>
      <c r="I531" s="19" t="inlineStr">
        <is>
          <t>Horarios de atencion.</t>
        </is>
      </c>
      <c r="J531" s="18" t="inlineStr">
        <is>
          <t>http://larepublica.pe/sociedad/728471-conoce-los-horarios-de-atencion-este-24-y-25-en-tiendas-comerciales</t>
        </is>
      </c>
    </row>
    <row r="532" ht="28.05" customHeight="1">
      <c r="A532" s="15" t="n">
        <v>531</v>
      </c>
      <c r="B532" s="15" t="inlineStr">
        <is>
          <t>2020-07-04</t>
        </is>
      </c>
      <c r="C532" s="16" t="inlineStr">
        <is>
          <t>elcomercio.pe</t>
        </is>
      </c>
      <c r="D532" s="16" t="inlineStr">
        <is>
          <t>InRetail Peru Corp</t>
        </is>
      </c>
      <c r="E532" s="17" t="inlineStr">
        <is>
          <t>Perú: Tiendas Paris: ¿Por qué Cencosud decidió cerrar su operación en Perú y</t>
        </is>
      </c>
      <c r="F532" s="19" t="inlineStr">
        <is>
          <t>Z_sector_macro</t>
        </is>
      </c>
      <c r="G532" s="19" t="n"/>
      <c r="H532" s="20" t="inlineStr">
        <is>
          <t>x</t>
        </is>
      </c>
      <c r="I532" s="19" t="inlineStr">
        <is>
          <t>Salida de un competidor del mercado peruano. Titular truncado.</t>
        </is>
      </c>
      <c r="J532" s="18" t="inlineStr">
        <is>
          <t>https://elcomercio.pe/economia/peru/tiendas-paris-por-que-cencosud-decidio-cerrar-su-operacion-en-peru-y-quienes-se-beneficiarian-por-su-salida-falabella-ripley-oechsle-inretail-noticia/</t>
        </is>
      </c>
    </row>
    <row r="533" ht="28.05" customHeight="1">
      <c r="A533" s="15" t="n">
        <v>532</v>
      </c>
      <c r="B533" s="15" t="inlineStr">
        <is>
          <t>2021-05-25</t>
        </is>
      </c>
      <c r="C533" s="16" t="inlineStr">
        <is>
          <t>elcomercio.pe</t>
        </is>
      </c>
      <c r="D533" s="16" t="inlineStr">
        <is>
          <t>InRetail Peru Corp</t>
        </is>
      </c>
      <c r="E533" s="17" t="inlineStr">
        <is>
          <t>Bolsa de Valores Lima cerró la jornada con resultados negativos</t>
        </is>
      </c>
      <c r="F533" s="19" t="inlineStr">
        <is>
          <t>Z_indice_bursatil</t>
        </is>
      </c>
      <c r="G533" s="19" t="n"/>
      <c r="H533" s="20" t="n"/>
      <c r="I533" s="19" t="n"/>
      <c r="J533" s="18" t="inlineStr">
        <is>
          <t>https://elcomercio.pe/economia/mercados/bvl-bolsa-de-valores-lima-cerro-la-jornada-con-resultados-negativos-nndc-noticia/</t>
        </is>
      </c>
    </row>
    <row r="534" ht="28.05" customHeight="1">
      <c r="A534" s="15" t="n">
        <v>533</v>
      </c>
      <c r="B534" s="15" t="inlineStr">
        <is>
          <t>2022-11-24</t>
        </is>
      </c>
      <c r="C534" s="16" t="inlineStr">
        <is>
          <t>gestion.pe</t>
        </is>
      </c>
      <c r="D534" s="16" t="inlineStr">
        <is>
          <t>Banco de Credito del Peru (BCP)</t>
        </is>
      </c>
      <c r="E534" s="17" t="inlineStr">
        <is>
          <t>Empresas de construcción perciben un estancamiento de las obras en noviembre</t>
        </is>
      </c>
      <c r="F534" s="19" t="inlineStr">
        <is>
          <t>Z_sector_macro</t>
        </is>
      </c>
      <c r="G534" s="19" t="n"/>
      <c r="H534" s="20" t="n"/>
      <c r="I534" s="19" t="n"/>
      <c r="J534" s="18" t="inlineStr">
        <is>
          <t>https://gestion.pe/economia/construccion-habria-crecido-58-en-octubre-pero-perspectivas-son-negativas-para-el-sector-noticia/</t>
        </is>
      </c>
    </row>
    <row r="535" ht="28.05" customHeight="1">
      <c r="A535" s="15" t="n">
        <v>534</v>
      </c>
      <c r="B535" s="15" t="inlineStr">
        <is>
          <t>2022-03-11</t>
        </is>
      </c>
      <c r="C535" s="16" t="inlineStr">
        <is>
          <t>elcomercio.pe</t>
        </is>
      </c>
      <c r="D535" s="16" t="inlineStr">
        <is>
          <t>Compania de Minas Buenaventura</t>
        </is>
      </c>
      <c r="E535" s="17" t="inlineStr">
        <is>
          <t>Bolsa de Valores de Lima comienza sesión con indicadores mixtos</t>
        </is>
      </c>
      <c r="F535" s="19" t="inlineStr">
        <is>
          <t>Z_indice_bursatil</t>
        </is>
      </c>
      <c r="G535" s="19" t="n"/>
      <c r="H535" s="20" t="n"/>
      <c r="I535" s="19" t="n"/>
      <c r="J535" s="18" t="n"/>
    </row>
    <row r="536" ht="28.05" customHeight="1">
      <c r="A536" s="15" t="n">
        <v>535</v>
      </c>
      <c r="B536" s="15" t="inlineStr">
        <is>
          <t>2015-04-29</t>
        </is>
      </c>
      <c r="C536" s="16" t="inlineStr">
        <is>
          <t>larepublica.pe</t>
        </is>
      </c>
      <c r="D536" s="16" t="inlineStr">
        <is>
          <t>Banco de Credito del Peru (BCP)</t>
        </is>
      </c>
      <c r="E536" s="17" t="inlineStr">
        <is>
          <t>BCP destinó S/. 482 millones para programas educativos</t>
        </is>
      </c>
      <c r="F536" s="19" t="inlineStr">
        <is>
          <t>Z_patrocinio_rse</t>
        </is>
      </c>
      <c r="G536" s="19" t="n"/>
      <c r="H536" s="20" t="n"/>
      <c r="I536" s="19" t="inlineStr">
        <is>
          <t>Programas educativos.</t>
        </is>
      </c>
      <c r="J536" s="18" t="inlineStr">
        <is>
          <t>http://www.larepublica.pe/29-04-2015/bcp-destino-soles-482-millones-para-programas-educativos</t>
        </is>
      </c>
    </row>
    <row r="537" ht="28.05" customHeight="1">
      <c r="A537" s="15" t="n">
        <v>536</v>
      </c>
      <c r="B537" s="15" t="inlineStr">
        <is>
          <t>2019-09-05</t>
        </is>
      </c>
      <c r="C537" s="16" t="inlineStr">
        <is>
          <t>elcomercio.pe</t>
        </is>
      </c>
      <c r="D537" s="16" t="inlineStr">
        <is>
          <t>Alicorp</t>
        </is>
      </c>
      <c r="E537" s="17" t="inlineStr">
        <is>
          <t>Presupuesto para combatir la anemia subirá 9,4% el 2020</t>
        </is>
      </c>
      <c r="F537" s="19" t="inlineStr">
        <is>
          <t>Z_sector_macro</t>
        </is>
      </c>
      <c r="G537" s="19" t="n"/>
      <c r="H537" s="20" t="inlineStr">
        <is>
          <t>x</t>
        </is>
      </c>
      <c r="I537" s="19" t="inlineStr">
        <is>
          <t>Presupuesto publico contra la anemia, tema en el que la empresa tiene campanas.</t>
        </is>
      </c>
      <c r="J537" s="18" t="inlineStr">
        <is>
          <t>http://elcomercio.pe/juntos-contra-anemia/ultimas/presupuesto-combatir-anemia-subira-9-4-2020-noticia-673064</t>
        </is>
      </c>
    </row>
    <row r="538" ht="28.05" customHeight="1">
      <c r="A538" s="15" t="n">
        <v>537</v>
      </c>
      <c r="B538" s="15" t="inlineStr">
        <is>
          <t>2016-05-08</t>
        </is>
      </c>
      <c r="C538" s="16" t="inlineStr">
        <is>
          <t>gestion.pe</t>
        </is>
      </c>
      <c r="D538" s="16" t="inlineStr">
        <is>
          <t>InRetail Peru Corp</t>
        </is>
      </c>
      <c r="E538" s="17" t="inlineStr">
        <is>
          <t>SDI Perú: cómo la automatización en centros de distribución redefine eficiencia en empresas</t>
        </is>
      </c>
      <c r="F538" s="19" t="inlineStr">
        <is>
          <t>Z_no_relevante</t>
        </is>
      </c>
      <c r="G538" s="19" t="n"/>
      <c r="H538" s="20" t="n"/>
      <c r="I538" s="19" t="n"/>
      <c r="J538" s="18" t="inlineStr">
        <is>
          <t>http://gestion.pe/tecnologia/sdi-peru-como-automatizacion-centros-distribucion-redefine-eficiencia-empresas-2160338</t>
        </is>
      </c>
    </row>
    <row r="539" ht="28.05" customHeight="1">
      <c r="A539" s="15" t="n">
        <v>538</v>
      </c>
      <c r="B539" s="15" t="inlineStr">
        <is>
          <t>2020-11-18</t>
        </is>
      </c>
      <c r="C539" s="16" t="inlineStr">
        <is>
          <t>gestion.pe</t>
        </is>
      </c>
      <c r="D539" s="16" t="inlineStr">
        <is>
          <t>Compania de Minas Buenaventura</t>
        </is>
      </c>
      <c r="E539" s="17" t="inlineStr">
        <is>
          <t>BVL refuerza su posición como mercado emergente con incorporación de Intercorp a MSCI</t>
        </is>
      </c>
      <c r="F539" s="19" t="inlineStr">
        <is>
          <t>Z_indice_bursatil</t>
        </is>
      </c>
      <c r="G539" s="19" t="n"/>
      <c r="H539" s="20" t="n"/>
      <c r="I539" s="19" t="inlineStr">
        <is>
          <t>Incorporacion de un emisor al MSCI.</t>
        </is>
      </c>
      <c r="J539" s="18" t="inlineStr">
        <is>
          <t>https://gestion.pe/economia/mercados/intercorp-ingresa-a-segmento-small-cap-de-msci-noticia/</t>
        </is>
      </c>
    </row>
    <row r="540" ht="28.05" customHeight="1">
      <c r="A540" s="15" t="n">
        <v>539</v>
      </c>
      <c r="B540" s="15" t="inlineStr">
        <is>
          <t>2018-09-06</t>
        </is>
      </c>
      <c r="C540" s="16" t="inlineStr">
        <is>
          <t>elcomercio.pe</t>
        </is>
      </c>
      <c r="D540" s="16" t="inlineStr">
        <is>
          <t>Saga Falabella</t>
        </is>
      </c>
      <c r="E540" s="17" t="inlineStr">
        <is>
          <t>Bruma, el producto que hará que tu maquillaje dure más tiempo</t>
        </is>
      </c>
      <c r="F540" s="19" t="inlineStr">
        <is>
          <t>Z_no_relevante</t>
        </is>
      </c>
      <c r="G540" s="19" t="n"/>
      <c r="H540" s="20" t="n"/>
      <c r="I540" s="19" t="n"/>
      <c r="J540" s="18" t="n"/>
    </row>
    <row r="541" ht="28.05" customHeight="1">
      <c r="A541" s="15" t="n">
        <v>540</v>
      </c>
      <c r="B541" s="15" t="inlineStr">
        <is>
          <t>2025-08-20</t>
        </is>
      </c>
      <c r="C541" s="16" t="inlineStr">
        <is>
          <t>gestion.pe</t>
        </is>
      </c>
      <c r="D541" s="16" t="inlineStr">
        <is>
          <t>Compania de Minas Buenaventura</t>
        </is>
      </c>
      <c r="E541" s="17" t="inlineStr">
        <is>
          <t>Mineras peruanas brillan en resultados, brindando oportunidad de inversión</t>
        </is>
      </c>
      <c r="F541" s="19" t="inlineStr">
        <is>
          <t>Z_sector_macro</t>
        </is>
      </c>
      <c r="G541" s="19" t="n"/>
      <c r="H541" s="20" t="inlineStr">
        <is>
          <t>x</t>
        </is>
      </c>
      <c r="I541" s="19" t="inlineStr">
        <is>
          <t>Resultados del conjunto de mineras peruanas.</t>
        </is>
      </c>
      <c r="J541" s="18" t="inlineStr">
        <is>
          <t>https://gestion.pe/opinion/mineras-peruanas-brillan-en-resultados-brindando-oportunidad-de-inversion-noticia/</t>
        </is>
      </c>
    </row>
    <row r="542" ht="28.05" customHeight="1">
      <c r="A542" s="15" t="n">
        <v>541</v>
      </c>
      <c r="B542" s="15" t="inlineStr">
        <is>
          <t>2020-06-24</t>
        </is>
      </c>
      <c r="C542" s="16" t="inlineStr">
        <is>
          <t>elcomercio.pe</t>
        </is>
      </c>
      <c r="D542" s="16" t="inlineStr">
        <is>
          <t>Alicorp</t>
        </is>
      </c>
      <c r="E542" s="17" t="inlineStr">
        <is>
          <t>Suspensión perfecta de labores: ¿qué condiciones deben cumplir los trabajadores para beneficiarse con el apoyo económico de 760 soles?</t>
        </is>
      </c>
      <c r="F542" s="19" t="inlineStr">
        <is>
          <t>Z_sector_macro</t>
        </is>
      </c>
      <c r="G542" s="19" t="n"/>
      <c r="H542" s="20" t="n"/>
      <c r="I542" s="19" t="inlineStr">
        <is>
          <t>Norma laboral de suspension perfecta.</t>
        </is>
      </c>
      <c r="J542" s="18" t="inlineStr">
        <is>
          <t>https://elcomercio.pe/economia/personal/suspension-perfecta-de-labores-que-condiciones-deben-cumplir-los-trabajadores-para-beneficiarse-con-el-apoyo-economico-de-760-soles-nndc-noticia/</t>
        </is>
      </c>
    </row>
    <row r="543" ht="28.05" customHeight="1">
      <c r="A543" s="15" t="n">
        <v>542</v>
      </c>
      <c r="B543" s="15" t="inlineStr">
        <is>
          <t>2025-04-08</t>
        </is>
      </c>
      <c r="C543" s="16" t="inlineStr">
        <is>
          <t>larepublica.pe</t>
        </is>
      </c>
      <c r="D543" s="16" t="inlineStr">
        <is>
          <t>Banco de Credito del Peru (BCP)</t>
        </is>
      </c>
      <c r="E543" s="17" t="inlineStr">
        <is>
          <t>Invertirían más de US$2 mil millones en este importante puerto del Perú para potenciar su ubicación estratégica en el comercio exterior</t>
        </is>
      </c>
      <c r="F543" s="19" t="inlineStr">
        <is>
          <t>Z_sector_macro</t>
        </is>
      </c>
      <c r="G543" s="19" t="n"/>
      <c r="H543" s="20" t="n"/>
      <c r="I543" s="19" t="n"/>
      <c r="J543" s="18" t="inlineStr">
        <is>
          <t>https://larepublica.pe/economia/2025/04/08/invertirian-mas-de-us2-mil-millones-en-este-importante-puerto-del-peru-para-potenciar-su-ubicacion-estrategica-en-el-comercio-exterior-atmp-269352</t>
        </is>
      </c>
    </row>
    <row r="544" ht="28.05" customHeight="1">
      <c r="A544" s="15" t="n">
        <v>543</v>
      </c>
      <c r="B544" s="15" t="inlineStr">
        <is>
          <t>2018-06-14</t>
        </is>
      </c>
      <c r="C544" s="16" t="inlineStr">
        <is>
          <t>gestion.pe</t>
        </is>
      </c>
      <c r="D544" s="16" t="inlineStr">
        <is>
          <t>Banco de Credito del Peru (BCP)</t>
        </is>
      </c>
      <c r="E544" s="17" t="inlineStr">
        <is>
          <t>La Bolsa de Lima baja 0,51 % y cierra en 21.030,63 puntos</t>
        </is>
      </c>
      <c r="F544" s="19" t="inlineStr">
        <is>
          <t>Z_indice_bursatil</t>
        </is>
      </c>
      <c r="G544" s="19" t="n"/>
      <c r="H544" s="20" t="n"/>
      <c r="I544" s="19" t="n"/>
      <c r="J544" s="18" t="inlineStr">
        <is>
          <t>http://gestion.pe/economia/mercados/bolsa-lima-baja-0-51-cierra-21-030-63-puntos-236014</t>
        </is>
      </c>
    </row>
    <row r="545" ht="28.05" customHeight="1">
      <c r="A545" s="15" t="n">
        <v>544</v>
      </c>
      <c r="B545" s="15" t="inlineStr">
        <is>
          <t>2024-08-04</t>
        </is>
      </c>
      <c r="C545" s="16" t="inlineStr">
        <is>
          <t>larepublica.pe</t>
        </is>
      </c>
      <c r="D545" s="16" t="inlineStr">
        <is>
          <t>Banco de Credito del Peru (BCP)</t>
        </is>
      </c>
      <c r="E545" s="17" t="inlineStr">
        <is>
          <t>Ocho audiencias después, el fiscal mostró sus pruebas y los abogados recurren a la interpretación auténtica</t>
        </is>
      </c>
      <c r="F545" s="19" t="inlineStr">
        <is>
          <t>Z_no_relevante</t>
        </is>
      </c>
      <c r="G545" s="19" t="n"/>
      <c r="H545" s="20" t="n"/>
      <c r="I545" s="19" t="n"/>
      <c r="J545" s="18" t="inlineStr">
        <is>
          <t>https://larepublica.pe/politica/judiciales/2024/08/04/juicio-a-keiko-fujimori-ocho-audiencias-despues-el-fiscal-mostro-las-pruebas-y-los-abogados-recurren-a-la-interpretacion-autentica-caso-cocteles-322752</t>
        </is>
      </c>
    </row>
    <row r="546" ht="28.05" customHeight="1">
      <c r="A546" s="15" t="n">
        <v>545</v>
      </c>
      <c r="B546" s="15" t="inlineStr">
        <is>
          <t>2018-01-03</t>
        </is>
      </c>
      <c r="C546" s="16" t="inlineStr">
        <is>
          <t>elcomercio.pe</t>
        </is>
      </c>
      <c r="D546" s="16" t="inlineStr">
        <is>
          <t>Banco de Credito del Peru (BCP)</t>
        </is>
      </c>
      <c r="E546" s="17" t="inlineStr">
        <is>
          <t>Por qué se dispara precio del cobre en el mundo y qué significa para Perú</t>
        </is>
      </c>
      <c r="F546" s="19" t="inlineStr">
        <is>
          <t>Z_sector_macro</t>
        </is>
      </c>
      <c r="G546" s="19" t="n"/>
      <c r="H546" s="20" t="n"/>
      <c r="I546" s="19" t="inlineStr">
        <is>
          <t>Precio del cobre.</t>
        </is>
      </c>
      <c r="J546" s="18" t="inlineStr">
        <is>
          <t>http://elcomercio.pe/economia/peru/dispara-precio-cobre-significa-peru-noticia-486029</t>
        </is>
      </c>
    </row>
    <row r="547" ht="28.05" customHeight="1">
      <c r="A547" s="15" t="n">
        <v>546</v>
      </c>
      <c r="B547" s="15" t="inlineStr">
        <is>
          <t>2023-04-23</t>
        </is>
      </c>
      <c r="C547" s="16" t="inlineStr">
        <is>
          <t>gestion.pe</t>
        </is>
      </c>
      <c r="D547" s="16" t="inlineStr">
        <is>
          <t>Banco de Credito del Peru (BCP)</t>
        </is>
      </c>
      <c r="E547" s="17" t="inlineStr">
        <is>
          <t>Crece el numero de accionistas minoristas en las empresas de la BVL</t>
        </is>
      </c>
      <c r="F547" s="19" t="inlineStr">
        <is>
          <t>Z_indice_bursatil</t>
        </is>
      </c>
      <c r="G547" s="19" t="n"/>
      <c r="H547" s="20" t="n"/>
      <c r="I547" s="19" t="inlineStr">
        <is>
          <t>Accionistas minoristas en la BVL.</t>
        </is>
      </c>
      <c r="J547" s="18" t="inlineStr">
        <is>
          <t>https://gestion.pe/economia/mercados/crece-el-numero-de-accionistas-minoristas-en-las-empresas-de-la-bvl-noticia/</t>
        </is>
      </c>
    </row>
    <row r="548" ht="28.05" customHeight="1">
      <c r="A548" s="15" t="n">
        <v>547</v>
      </c>
      <c r="B548" s="15" t="inlineStr">
        <is>
          <t>2016-06-24</t>
        </is>
      </c>
      <c r="C548" s="16" t="inlineStr">
        <is>
          <t>elcomercio.pe</t>
        </is>
      </c>
      <c r="D548" s="16" t="inlineStr">
        <is>
          <t>Aceros Arequipa</t>
        </is>
      </c>
      <c r="E548" s="17" t="inlineStr">
        <is>
          <t>5.000 mypes y pymes se han beneficiado con la ayuda de Fundes</t>
        </is>
      </c>
      <c r="F548" s="19" t="inlineStr">
        <is>
          <t>Z_no_relevante</t>
        </is>
      </c>
      <c r="G548" s="19" t="n"/>
      <c r="H548" s="20" t="n"/>
      <c r="I548" s="19" t="n"/>
      <c r="J548" s="18" t="inlineStr">
        <is>
          <t>http://elcomercio.pe/economia/peru/5000-mypes-y-pymes-se-han-beneficiado-ayuda-fundes-noticia-1911991</t>
        </is>
      </c>
    </row>
    <row r="549" ht="28.05" customHeight="1">
      <c r="A549" s="15" t="n">
        <v>548</v>
      </c>
      <c r="B549" s="15" t="inlineStr">
        <is>
          <t>2025-01-27</t>
        </is>
      </c>
      <c r="C549" s="16" t="inlineStr">
        <is>
          <t>elcomercio.pe</t>
        </is>
      </c>
      <c r="D549" s="16" t="inlineStr">
        <is>
          <t>Banco de Credito del Peru (BCP)</t>
        </is>
      </c>
      <c r="E549" s="17" t="inlineStr">
        <is>
          <t>Precio del dólar en Perú hoy, lunes 27 de enero: cuál es el tipo de cambio del día</t>
        </is>
      </c>
      <c r="F549" s="19" t="inlineStr">
        <is>
          <t>Z_mencion_incidental</t>
        </is>
      </c>
      <c r="G549" s="19" t="n"/>
      <c r="H549" s="20" t="n"/>
      <c r="I549" s="19" t="inlineStr">
        <is>
          <t>Tipo de cambio.</t>
        </is>
      </c>
      <c r="J549" s="18" t="inlineStr">
        <is>
          <t>https://elcomercio.pe/economia/mercados/precio-del-dolar-hoy-en-peru-2025-a-cuanto-esta-el-dolar-el-lunes-27-de-enero-y-tipo-de-cambio-tasa-cotizacion-compra-y-venta-segun-bcr-dolares-a-soles-sbs-ocona-lbposting-noticia/</t>
        </is>
      </c>
    </row>
    <row r="550" ht="28.05" customHeight="1">
      <c r="A550" s="15" t="n">
        <v>549</v>
      </c>
      <c r="B550" s="15" t="inlineStr">
        <is>
          <t>2022-08-16</t>
        </is>
      </c>
      <c r="C550" s="16" t="inlineStr">
        <is>
          <t>larepublica.pe</t>
        </is>
      </c>
      <c r="D550" s="16" t="inlineStr">
        <is>
          <t>Cementos Pacasmayo</t>
        </is>
      </c>
      <c r="E550" s="17" t="inlineStr">
        <is>
          <t>Piura: Sechura recibió S/258 millones del proyecto Bayóvar</t>
        </is>
      </c>
      <c r="F550" s="19" t="inlineStr">
        <is>
          <t>Z_sector_macro</t>
        </is>
      </c>
      <c r="G550" s="19" t="n"/>
      <c r="H550" s="20" t="n"/>
      <c r="I550" s="19" t="inlineStr">
        <is>
          <t>Canon del proyecto Bayovar.</t>
        </is>
      </c>
      <c r="J550" s="18" t="inlineStr">
        <is>
          <t>https://larepublica.pe/sociedad/2022/08/16/piura-sechura-recibio-s258-millones-del-proyecto-bayovar-lrnd/</t>
        </is>
      </c>
    </row>
    <row r="551" ht="28.05" customHeight="1">
      <c r="A551" s="15" t="n">
        <v>550</v>
      </c>
      <c r="B551" s="15" t="inlineStr">
        <is>
          <t>2018-10-31</t>
        </is>
      </c>
      <c r="C551" s="16" t="inlineStr">
        <is>
          <t>elcomercio.pe</t>
        </is>
      </c>
      <c r="D551" s="16" t="inlineStr">
        <is>
          <t>Minsur</t>
        </is>
      </c>
      <c r="E551" s="17" t="inlineStr">
        <is>
          <t>Bolsa de Valores de Lima opera con ganancias a media jornada</t>
        </is>
      </c>
      <c r="F551" s="19" t="inlineStr">
        <is>
          <t>Z_indice_bursatil</t>
        </is>
      </c>
      <c r="G551" s="19" t="n"/>
      <c r="H551" s="20" t="n"/>
      <c r="I551" s="19" t="n"/>
      <c r="J551" s="18" t="inlineStr">
        <is>
          <t>http://elcomercio.pe/economia/mercados/bolsa-valores-lima-opera-ganancias-media-jornada-noticia-nndc-573085</t>
        </is>
      </c>
    </row>
  </sheetData>
  <autoFilter ref="A1:J551"/>
  <dataValidations count="2">
    <dataValidation sqref="H2:H551" showDropDown="0" showInputMessage="0" showErrorMessage="0" allowBlank="1" type="list">
      <formula1>"x"</formula1>
      <formula2>0</formula2>
    </dataValidation>
    <dataValidation sqref="G2:G551" showDropDown="0" showInputMessage="0" showErrorMessage="0" allowBlank="1" errorTitle="Polaridad no valida" error="Solo positivo, negativo o neutral. Vacia si la categoria es Z." type="list">
      <formula1>"positivo,negativo,neutral"</formula1>
      <formula2>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2026-08-22T16:18:13Z</dcterms:created>
  <dcterms:modified xmlns:dcterms="http://purl.org/dc/terms/" xmlns:xsi="http://www.w3.org/2001/XMLSchema-instance" xsi:type="dcterms:W3CDTF">2026-08-26T05:29:37Z</dcterms:modified>
  <cp:lastModifiedBy>LENOVO</cp:lastModifiedBy>
</cp:coreProperties>
</file>